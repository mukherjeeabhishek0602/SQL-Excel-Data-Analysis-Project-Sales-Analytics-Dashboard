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defaultThemeVersion="124226"/>
  <mc:AlternateContent xmlns:mc="http://schemas.openxmlformats.org/markup-compatibility/2006">
    <mc:Choice Requires="x15">
      <x15ac:absPath xmlns:x15ac="http://schemas.microsoft.com/office/spreadsheetml/2010/11/ac" url="C:\Users\user\Downloads\MS EXCEL DG\"/>
    </mc:Choice>
  </mc:AlternateContent>
  <xr:revisionPtr revIDLastSave="0" documentId="13_ncr:1_{4AA20771-3D50-43D9-B6FB-A3D4A100D6FE}" xr6:coauthVersionLast="47" xr6:coauthVersionMax="47" xr10:uidLastSave="{00000000-0000-0000-0000-000000000000}"/>
  <bookViews>
    <workbookView xWindow="-108" yWindow="-108" windowWidth="23256" windowHeight="12576" xr2:uid="{00000000-000D-0000-FFFF-FFFF00000000}"/>
  </bookViews>
  <sheets>
    <sheet name="Dashboard" sheetId="11" r:id="rId1"/>
    <sheet name="Working Data" sheetId="2" r:id="rId2"/>
    <sheet name="Transformed Data" sheetId="3" r:id="rId3"/>
    <sheet name="Raw Data" sheetId="1" r:id="rId4"/>
  </sheets>
  <definedNames>
    <definedName name="_xlnm._FilterDatabase" localSheetId="3" hidden="1">'Raw Data'!$A$1:$M$101</definedName>
    <definedName name="_xlnm._FilterDatabase" localSheetId="1" hidden="1">'Working Data'!$A$1:$O$101</definedName>
    <definedName name="_xlcn.WorksheetConnection_Marathalli.xlsxTable21" hidden="1">Table2[]</definedName>
    <definedName name="_xlcn.WorksheetConnection_Marathalli.xlsxTable4" hidden="1">Table4[]</definedName>
    <definedName name="_xlcn.WorksheetConnection_Marathalli.xlsxTable51" hidden="1">Table5[]</definedName>
    <definedName name="Slicer_Gender">#N/A</definedName>
    <definedName name="Slicer_Hours__Time">#N/A</definedName>
    <definedName name="Slicer_Location">#N/A</definedName>
    <definedName name="Slicer_Money_Type">#N/A</definedName>
    <definedName name="Slicer_Review">#N/A</definedName>
    <definedName name="Slicer_Year">#N/A</definedName>
  </definedNames>
  <calcPr calcId="191029"/>
  <pivotCaches>
    <pivotCache cacheId="0" r:id="rId5"/>
    <pivotCache cacheId="29"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Table5" connection="WorksheetConnection_Marathalli.xlsx!Table5"/>
          <x15:modelTable id="Table2" name="Table2" connection="WorksheetConnection_Marathalli.xlsx!Table2"/>
          <x15:modelTable id="Table4" name="Table4" connection="WorksheetConnection_Marathalli.xlsx!Table4"/>
        </x15:modelTables>
        <x15:modelRelationships>
          <x15:modelRelationship fromTable="Table2" fromColumn="Gender" toTable="Table5" toColumn="location"/>
        </x15:modelRelationships>
      </x15:dataModel>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5E6B69-CD68-4845-AE25-38157D96E7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ECDBAA2-2178-43BF-9C68-7ACDB94A5E22}" name="WorksheetConnection_Marathalli.xlsx!Table2" type="102" refreshedVersion="8" minRefreshableVersion="5">
    <extLst>
      <ext xmlns:x15="http://schemas.microsoft.com/office/spreadsheetml/2010/11/main" uri="{DE250136-89BD-433C-8126-D09CA5730AF9}">
        <x15:connection id="Table2" autoDelete="1">
          <x15:rangePr sourceName="_xlcn.WorksheetConnection_Marathalli.xlsxTable21"/>
        </x15:connection>
      </ext>
    </extLst>
  </connection>
  <connection id="3" xr16:uid="{078075C3-D1AF-4A8F-A916-0BBE073C194E}" name="WorksheetConnection_Marathalli.xlsx!Table4" type="102" refreshedVersion="8" minRefreshableVersion="5">
    <extLst>
      <ext xmlns:x15="http://schemas.microsoft.com/office/spreadsheetml/2010/11/main" uri="{DE250136-89BD-433C-8126-D09CA5730AF9}">
        <x15:connection id="Table4">
          <x15:rangePr sourceName="_xlcn.WorksheetConnection_Marathalli.xlsxTable4"/>
        </x15:connection>
      </ext>
    </extLst>
  </connection>
  <connection id="4" xr16:uid="{C158D3C2-52F9-45BF-96FA-720EB855EDA9}" name="WorksheetConnection_Marathalli.xlsx!Table5" type="102" refreshedVersion="8" minRefreshableVersion="5">
    <extLst>
      <ext xmlns:x15="http://schemas.microsoft.com/office/spreadsheetml/2010/11/main" uri="{DE250136-89BD-433C-8126-D09CA5730AF9}">
        <x15:connection id="Table5">
          <x15:rangePr sourceName="_xlcn.WorksheetConnection_Marathalli.xlsxTable51"/>
        </x15:connection>
      </ext>
    </extLst>
  </connection>
</connections>
</file>

<file path=xl/sharedStrings.xml><?xml version="1.0" encoding="utf-8"?>
<sst xmlns="http://schemas.openxmlformats.org/spreadsheetml/2006/main" count="1551" uniqueCount="266">
  <si>
    <t>Name</t>
  </si>
  <si>
    <t>Mob</t>
  </si>
  <si>
    <t>Email</t>
  </si>
  <si>
    <t>Pid</t>
  </si>
  <si>
    <t>Location</t>
  </si>
  <si>
    <t>Price</t>
  </si>
  <si>
    <t>DOO</t>
  </si>
  <si>
    <t>Total amount</t>
  </si>
  <si>
    <t>Time</t>
  </si>
  <si>
    <t>Gender</t>
  </si>
  <si>
    <t>Raj Sharma</t>
  </si>
  <si>
    <t>Sharad Gandhi</t>
  </si>
  <si>
    <t>Rijo Paul</t>
  </si>
  <si>
    <t>Joseph P</t>
  </si>
  <si>
    <t>Vinudas K.S</t>
  </si>
  <si>
    <t>Shilpa R</t>
  </si>
  <si>
    <t>Sindhu J.P</t>
  </si>
  <si>
    <t>Lijin k c</t>
  </si>
  <si>
    <t>Edison ML</t>
  </si>
  <si>
    <t>Basil P E</t>
  </si>
  <si>
    <t>Jismon Sharma</t>
  </si>
  <si>
    <t>Sharafali P</t>
  </si>
  <si>
    <t>Jackie Bates</t>
  </si>
  <si>
    <t>Duane Sharma</t>
  </si>
  <si>
    <t>Lula Kelly</t>
  </si>
  <si>
    <t>Isabel Evans</t>
  </si>
  <si>
    <t>Hubert Moran</t>
  </si>
  <si>
    <t>Catherine Rice</t>
  </si>
  <si>
    <t>Kevin Nash</t>
  </si>
  <si>
    <t>Sonya Peterson</t>
  </si>
  <si>
    <t>Katherine Bush</t>
  </si>
  <si>
    <t>Terri Adkins</t>
  </si>
  <si>
    <t>Estelle Kelley</t>
  </si>
  <si>
    <t>Amy Sharma</t>
  </si>
  <si>
    <t>Ron Luna</t>
  </si>
  <si>
    <t>Kristen Morales</t>
  </si>
  <si>
    <t>Daniel Conner</t>
  </si>
  <si>
    <t>Clay Meyer</t>
  </si>
  <si>
    <t>Horace Patel</t>
  </si>
  <si>
    <t>Andrew Ballard</t>
  </si>
  <si>
    <t>Doyle Sullivan</t>
  </si>
  <si>
    <t>Carroll Gilbert</t>
  </si>
  <si>
    <t>Abraham Sharma</t>
  </si>
  <si>
    <t>Harriet Kelley</t>
  </si>
  <si>
    <t>Patty Price</t>
  </si>
  <si>
    <t>Morris Diaz</t>
  </si>
  <si>
    <t>Wilfred Malone</t>
  </si>
  <si>
    <t>William Patel</t>
  </si>
  <si>
    <t>Arthur Dean</t>
  </si>
  <si>
    <t>Kirk Ross</t>
  </si>
  <si>
    <t>Georgia Summers</t>
  </si>
  <si>
    <t>Ian Knight</t>
  </si>
  <si>
    <t>Jonathon Nichols</t>
  </si>
  <si>
    <t>Jeremy Jensen</t>
  </si>
  <si>
    <t>Willard Gonzalez</t>
  </si>
  <si>
    <t>Mable Kelley</t>
  </si>
  <si>
    <t>Darrin Pope</t>
  </si>
  <si>
    <t>Sara Willis</t>
  </si>
  <si>
    <t>Peter Wilkerson</t>
  </si>
  <si>
    <t>Camille Bishop</t>
  </si>
  <si>
    <t>Heidi Ramsey</t>
  </si>
  <si>
    <t>Claudia Sharma</t>
  </si>
  <si>
    <t>Amelia Bridges</t>
  </si>
  <si>
    <t>Terry Patel</t>
  </si>
  <si>
    <t>Edward Stephens</t>
  </si>
  <si>
    <t>Kathy Horton</t>
  </si>
  <si>
    <t>Wade Copeland</t>
  </si>
  <si>
    <t>Jim Barker</t>
  </si>
  <si>
    <t>Tiffany Foster</t>
  </si>
  <si>
    <t>Iris Kelley</t>
  </si>
  <si>
    <t>Casey Griffith</t>
  </si>
  <si>
    <t>Jonathan Bowers</t>
  </si>
  <si>
    <t>Erika Lawson</t>
  </si>
  <si>
    <t>Willis Moody</t>
  </si>
  <si>
    <t>Laurie Reid</t>
  </si>
  <si>
    <t>Candace Kelley</t>
  </si>
  <si>
    <t>Joe Goodman</t>
  </si>
  <si>
    <t>Alyssa Simmons</t>
  </si>
  <si>
    <t>Good</t>
  </si>
  <si>
    <t>Average</t>
  </si>
  <si>
    <t>Bad</t>
  </si>
  <si>
    <t>Excellent</t>
  </si>
  <si>
    <t>Male</t>
  </si>
  <si>
    <t>Female</t>
  </si>
  <si>
    <t>Raj@gmail.com</t>
  </si>
  <si>
    <t>Danish@gmail.com</t>
  </si>
  <si>
    <t>Rijo@gmail.com</t>
  </si>
  <si>
    <t>Aakash@gmail.com</t>
  </si>
  <si>
    <t>Divya@gmail.com</t>
  </si>
  <si>
    <t>Lijin@gmail.com</t>
  </si>
  <si>
    <t>Jobin@gmail.com</t>
  </si>
  <si>
    <t>Sharafali@gmail.com</t>
  </si>
  <si>
    <t>Domingo@gmail.com</t>
  </si>
  <si>
    <t>David@gmail.com</t>
  </si>
  <si>
    <t>Catherine@gmail.com</t>
  </si>
  <si>
    <t>Francisco@gmail.com</t>
  </si>
  <si>
    <t>Alyssa@gmail.com</t>
  </si>
  <si>
    <t>Joe@gmail.com</t>
  </si>
  <si>
    <t>Darrin@gmail.com</t>
  </si>
  <si>
    <t>Amelia@gmail.com</t>
  </si>
  <si>
    <t>Kathy@gmail.com</t>
  </si>
  <si>
    <t>Bradford@gmail.com</t>
  </si>
  <si>
    <t>Angel@gmail.com</t>
  </si>
  <si>
    <t>Sharad@rediffmail.com</t>
  </si>
  <si>
    <t>Vinudas@rediffmail.com</t>
  </si>
  <si>
    <t>Sindhu@rediffmail.com</t>
  </si>
  <si>
    <t>Ajil@rediffmail.com</t>
  </si>
  <si>
    <t>Sonya@rediffmail.com</t>
  </si>
  <si>
    <t>Ivan@rediffmail.com</t>
  </si>
  <si>
    <t>Ron@rediffmail.com</t>
  </si>
  <si>
    <t>Willis@rediffmail.com</t>
  </si>
  <si>
    <t>Jonathan@rediffmail.com</t>
  </si>
  <si>
    <t>Andre@rediffmail.com</t>
  </si>
  <si>
    <t>Margarita@rediffmail.com</t>
  </si>
  <si>
    <t>Wilfred@rediffmail.com</t>
  </si>
  <si>
    <t>Randy@rediffmail.com</t>
  </si>
  <si>
    <t>Sheldon@rediffmail.com</t>
  </si>
  <si>
    <t>William@rediffmail.com</t>
  </si>
  <si>
    <t>Lester@rediffmail.com</t>
  </si>
  <si>
    <t>Terri@rediffmail.com</t>
  </si>
  <si>
    <t>Joseph@yahoo.com</t>
  </si>
  <si>
    <t>Basil@yahoo.com</t>
  </si>
  <si>
    <t>Jim@yahoo.com</t>
  </si>
  <si>
    <t>Georgia@yahoo.com</t>
  </si>
  <si>
    <t>Willard@yahoo.com</t>
  </si>
  <si>
    <t>Monica@yahoo.com</t>
  </si>
  <si>
    <t>Peter@yahoo.com</t>
  </si>
  <si>
    <t>Carroll@yahoo.com</t>
  </si>
  <si>
    <t>Gerard@yahoo.com</t>
  </si>
  <si>
    <t>Clay@yahoo.com</t>
  </si>
  <si>
    <t>Ganesh@g.com</t>
  </si>
  <si>
    <t>Candace@g.com</t>
  </si>
  <si>
    <t>Casey@g.com</t>
  </si>
  <si>
    <t>Tiffany@g.com</t>
  </si>
  <si>
    <t>Claudia@g.com</t>
  </si>
  <si>
    <t>Sara@g.com</t>
  </si>
  <si>
    <t>Patty@g.com</t>
  </si>
  <si>
    <t>Andrew@g.com</t>
  </si>
  <si>
    <t>Katherine@g.com</t>
  </si>
  <si>
    <t>Lula@g.com</t>
  </si>
  <si>
    <t>Jackie@g.com</t>
  </si>
  <si>
    <t>Edison@y.com</t>
  </si>
  <si>
    <t>Jismon@y.com</t>
  </si>
  <si>
    <t>Hubert@y.com</t>
  </si>
  <si>
    <t>Laurie@y.com</t>
  </si>
  <si>
    <t>Erika@y.com</t>
  </si>
  <si>
    <t>Terry@y.com</t>
  </si>
  <si>
    <t>Lucille@y.com</t>
  </si>
  <si>
    <t>Wade@y.com</t>
  </si>
  <si>
    <t>Camille@y.com</t>
  </si>
  <si>
    <t>Mable@y.com</t>
  </si>
  <si>
    <t>Mamie@g.com</t>
  </si>
  <si>
    <t>Jeremy@g.com</t>
  </si>
  <si>
    <t>Arthur@g.com</t>
  </si>
  <si>
    <t>Kirk@y.com</t>
  </si>
  <si>
    <t>Ian@y.com</t>
  </si>
  <si>
    <t>Abraham@g.com</t>
  </si>
  <si>
    <t>Harriet@g.com</t>
  </si>
  <si>
    <t>Morris@g.com</t>
  </si>
  <si>
    <t>Doyle@g.com</t>
  </si>
  <si>
    <t>Kristen@y.com</t>
  </si>
  <si>
    <t>Daniel@y.com</t>
  </si>
  <si>
    <t>Horace@y.com</t>
  </si>
  <si>
    <t>Kevin@y.com</t>
  </si>
  <si>
    <t>Wallace@y.com</t>
  </si>
  <si>
    <t>Estelle@g.com</t>
  </si>
  <si>
    <t>Money Type</t>
  </si>
  <si>
    <t xml:space="preserve">Online </t>
  </si>
  <si>
    <t>Cash</t>
  </si>
  <si>
    <t>Chicken Pizza</t>
  </si>
  <si>
    <t>Veggi Pizza</t>
  </si>
  <si>
    <t>Margherita Pizza</t>
  </si>
  <si>
    <t>Spicy Panner Pizza</t>
  </si>
  <si>
    <t>BTM</t>
  </si>
  <si>
    <t>Maratthahalli</t>
  </si>
  <si>
    <t>J.P Nagar</t>
  </si>
  <si>
    <t>Kormangala</t>
  </si>
  <si>
    <t>Danish D'Souza</t>
  </si>
  <si>
    <t>Deepthi Kelley</t>
  </si>
  <si>
    <t>Aakash Patel</t>
  </si>
  <si>
    <t>Ganesh Rahu</t>
  </si>
  <si>
    <t>Divya Kumar</t>
  </si>
  <si>
    <t>Sayad Kelley</t>
  </si>
  <si>
    <t>Ajil k Mohanan</t>
  </si>
  <si>
    <t>Jobin George</t>
  </si>
  <si>
    <t>Domingo Rose</t>
  </si>
  <si>
    <t>Lester Wilkins</t>
  </si>
  <si>
    <t>David Sharma</t>
  </si>
  <si>
    <t>Ivan Ray</t>
  </si>
  <si>
    <t>Jim Robbins</t>
  </si>
  <si>
    <t>Wallace Parks</t>
  </si>
  <si>
    <t>Randy Walton</t>
  </si>
  <si>
    <t>Bradford Garrett</t>
  </si>
  <si>
    <t>Gerard Sharma</t>
  </si>
  <si>
    <t>Travis Rios</t>
  </si>
  <si>
    <t>Angel Wade</t>
  </si>
  <si>
    <t>Margarita Martin</t>
  </si>
  <si>
    <t>Sheldon Ryan</t>
  </si>
  <si>
    <t>Andre Patrick</t>
  </si>
  <si>
    <t>Mamie Flores</t>
  </si>
  <si>
    <t>Lucille Gilbert</t>
  </si>
  <si>
    <t>Francisco Neal</t>
  </si>
  <si>
    <t>Monica Patel</t>
  </si>
  <si>
    <t>Christy Waters</t>
  </si>
  <si>
    <t>Not Available</t>
  </si>
  <si>
    <t>Prodcut Type</t>
  </si>
  <si>
    <t>Review</t>
  </si>
  <si>
    <t>Deepthi@rediffmail.com</t>
  </si>
  <si>
    <t>Shilpa@rediffmail.com</t>
  </si>
  <si>
    <t>Sayad@rediffmail.com</t>
  </si>
  <si>
    <t>Duane@rediffmail.com</t>
  </si>
  <si>
    <t>Isabel@rediffmail.com</t>
  </si>
  <si>
    <t>Amy@rediffmail.com</t>
  </si>
  <si>
    <t>Travis@rediffmail.com</t>
  </si>
  <si>
    <t>Jonathon@rediffmail.com</t>
  </si>
  <si>
    <t>Heidi@rediffmail.com</t>
  </si>
  <si>
    <t>Edward@rediffmail.com</t>
  </si>
  <si>
    <t>Iris@rediffmail.com</t>
  </si>
  <si>
    <t>Christy@rediffmail.com</t>
  </si>
  <si>
    <t>P.ID</t>
  </si>
  <si>
    <t>Date of Order</t>
  </si>
  <si>
    <t>Veggie Pizza</t>
  </si>
  <si>
    <t>Total</t>
  </si>
  <si>
    <t>Total_count</t>
  </si>
  <si>
    <t>Money_type</t>
  </si>
  <si>
    <t>location</t>
  </si>
  <si>
    <t>order_count</t>
  </si>
  <si>
    <t>Product_type</t>
  </si>
  <si>
    <t>most_sold</t>
  </si>
  <si>
    <t>max_price</t>
  </si>
  <si>
    <t>year</t>
  </si>
  <si>
    <t>total_orders</t>
  </si>
  <si>
    <t>Year</t>
  </si>
  <si>
    <t>Annual_revenue</t>
  </si>
  <si>
    <t>Day</t>
  </si>
  <si>
    <t>Thursday</t>
  </si>
  <si>
    <t>Tuesday</t>
  </si>
  <si>
    <t>Wednesday</t>
  </si>
  <si>
    <t>Saturday</t>
  </si>
  <si>
    <t>Friday</t>
  </si>
  <si>
    <t>Monday</t>
  </si>
  <si>
    <t>Sunday</t>
  </si>
  <si>
    <t>Genders</t>
  </si>
  <si>
    <t>Reviews</t>
  </si>
  <si>
    <t>Years</t>
  </si>
  <si>
    <t>Locations</t>
  </si>
  <si>
    <t>Sum of Total amount</t>
  </si>
  <si>
    <t>Count of P.ID</t>
  </si>
  <si>
    <t>Product Type</t>
  </si>
  <si>
    <t>Payment modes</t>
  </si>
  <si>
    <t>Days</t>
  </si>
  <si>
    <t>Count of Orders</t>
  </si>
  <si>
    <t>11 AM</t>
  </si>
  <si>
    <t>12 PM</t>
  </si>
  <si>
    <t>1 PM</t>
  </si>
  <si>
    <t>2 PM</t>
  </si>
  <si>
    <t>3 PM</t>
  </si>
  <si>
    <t>4 PM</t>
  </si>
  <si>
    <t>5 PM</t>
  </si>
  <si>
    <t>6 PM</t>
  </si>
  <si>
    <t>7 PM</t>
  </si>
  <si>
    <t>8 PM</t>
  </si>
  <si>
    <t>Interactive Dashboard</t>
  </si>
  <si>
    <t>Online</t>
  </si>
  <si>
    <t>Mode of payment</t>
  </si>
  <si>
    <t>Total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</si>
</sst>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mmm\-yy;@"/>
    <numFmt numFmtId="165" formatCode="[$-F400]h:mm:ss\ AM/PM"/>
    <numFmt numFmtId="166" formatCode="&quot;₹&quot;\ #,##0.00"/>
    <numFmt numFmtId="167" formatCode="[$-F800]dddd\,\ mmmm\ dd\,\ yyyy"/>
    <numFmt numFmtId="168" formatCode="[$-10409]hh\.mm\ AM/PM;@"/>
    <numFmt numFmtId="169" formatCode="[$-409]d/mmm/yyyy;@"/>
  </numFmts>
  <fonts count="4" x14ac:knownFonts="1">
    <font>
      <sz val="11"/>
      <color theme="1"/>
      <name val="Calibri"/>
      <family val="2"/>
      <scheme val="minor"/>
    </font>
    <font>
      <b/>
      <sz val="12"/>
      <color theme="1"/>
      <name val="Calibri"/>
      <family val="2"/>
      <scheme val="minor"/>
    </font>
    <font>
      <b/>
      <sz val="11"/>
      <color theme="1"/>
      <name val="Calibri"/>
      <family val="2"/>
      <scheme val="minor"/>
    </font>
    <font>
      <b/>
      <sz val="36"/>
      <color theme="1"/>
      <name val="Bahnschrift Light Condensed"/>
      <family val="2"/>
    </font>
  </fonts>
  <fills count="4">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165" fontId="2" fillId="0" borderId="0" xfId="0" applyNumberFormat="1" applyFont="1" applyAlignment="1">
      <alignment horizontal="left"/>
    </xf>
    <xf numFmtId="165" fontId="0" fillId="0" borderId="0" xfId="0" applyNumberFormat="1" applyAlignment="1">
      <alignment horizontal="left"/>
    </xf>
    <xf numFmtId="164" fontId="0" fillId="0" borderId="0" xfId="0" applyNumberFormat="1" applyAlignment="1">
      <alignment horizontal="left"/>
    </xf>
    <xf numFmtId="0" fontId="0" fillId="0" borderId="1" xfId="0" applyBorder="1"/>
    <xf numFmtId="1" fontId="0" fillId="0" borderId="1" xfId="0" applyNumberFormat="1" applyBorder="1"/>
    <xf numFmtId="166" fontId="0" fillId="0" borderId="1" xfId="0" applyNumberFormat="1" applyBorder="1"/>
    <xf numFmtId="169" fontId="0" fillId="0" borderId="1" xfId="0" applyNumberFormat="1" applyBorder="1"/>
    <xf numFmtId="0" fontId="0" fillId="0" borderId="3" xfId="0" applyBorder="1"/>
    <xf numFmtId="168" fontId="0" fillId="0" borderId="2" xfId="0" applyNumberFormat="1" applyBorder="1"/>
    <xf numFmtId="0" fontId="2" fillId="0" borderId="4" xfId="0" applyFont="1" applyBorder="1"/>
    <xf numFmtId="0" fontId="2" fillId="0" borderId="5" xfId="0" applyFont="1" applyBorder="1"/>
    <xf numFmtId="1" fontId="2" fillId="0" borderId="5" xfId="0" applyNumberFormat="1" applyFont="1" applyBorder="1"/>
    <xf numFmtId="166" fontId="2" fillId="0" borderId="5" xfId="0" applyNumberFormat="1" applyFont="1" applyBorder="1"/>
    <xf numFmtId="167" fontId="2" fillId="0" borderId="5" xfId="0" applyNumberFormat="1" applyFont="1" applyBorder="1"/>
    <xf numFmtId="168" fontId="2" fillId="0" borderId="6" xfId="0" applyNumberFormat="1" applyFont="1" applyBorder="1"/>
    <xf numFmtId="0" fontId="0" fillId="0" borderId="7" xfId="0" applyBorder="1"/>
    <xf numFmtId="0" fontId="0" fillId="0" borderId="8" xfId="0" applyBorder="1"/>
    <xf numFmtId="1" fontId="0" fillId="0" borderId="8" xfId="0" applyNumberFormat="1" applyBorder="1"/>
    <xf numFmtId="166" fontId="0" fillId="0" borderId="8" xfId="0" applyNumberFormat="1" applyBorder="1"/>
    <xf numFmtId="169" fontId="0" fillId="0" borderId="8" xfId="0" applyNumberFormat="1" applyBorder="1"/>
    <xf numFmtId="168" fontId="0" fillId="0" borderId="9" xfId="0" applyNumberFormat="1" applyBorder="1"/>
    <xf numFmtId="0" fontId="0" fillId="0" borderId="9" xfId="0" applyBorder="1"/>
    <xf numFmtId="166" fontId="0" fillId="0" borderId="2" xfId="0" applyNumberFormat="1" applyBorder="1"/>
    <xf numFmtId="0" fontId="0" fillId="0" borderId="4" xfId="0" applyBorder="1"/>
    <xf numFmtId="166" fontId="0" fillId="0" borderId="6" xfId="0" applyNumberFormat="1" applyBorder="1"/>
    <xf numFmtId="166" fontId="0" fillId="0" borderId="9" xfId="0" applyNumberFormat="1" applyBorder="1"/>
    <xf numFmtId="0" fontId="0" fillId="0" borderId="6" xfId="0" applyBorder="1"/>
    <xf numFmtId="0" fontId="0" fillId="0" borderId="2" xfId="0" applyBorder="1"/>
    <xf numFmtId="0" fontId="0" fillId="0" borderId="0" xfId="0" pivotButton="1"/>
    <xf numFmtId="0" fontId="0" fillId="3" borderId="0" xfId="0" applyFill="1"/>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0" xfId="0" applyFont="1" applyFill="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17" xfId="0" applyFont="1" applyFill="1" applyBorder="1" applyAlignment="1">
      <alignment horizontal="center" vertical="center"/>
    </xf>
    <xf numFmtId="0" fontId="0" fillId="0" borderId="0" xfId="0" applyNumberFormat="1"/>
  </cellXfs>
  <cellStyles count="1">
    <cellStyle name="Normal" xfId="0" builtinId="0"/>
  </cellStyles>
  <dxfs count="74">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color rgb="FFC00000"/>
      </font>
      <fill>
        <patternFill patternType="gray125">
          <fgColor auto="1"/>
          <bgColor rgb="FFFFC000"/>
        </patternFill>
      </fill>
    </dxf>
    <dxf>
      <font>
        <color rgb="FF9C0006"/>
      </font>
      <fill>
        <patternFill>
          <bgColor rgb="FFFFC7CE"/>
        </patternFill>
      </fill>
    </dxf>
    <dxf>
      <font>
        <b/>
        <i val="0"/>
        <color theme="3" tint="-0.24994659260841701"/>
      </font>
      <fill>
        <patternFill>
          <bgColor theme="8" tint="0.39994506668294322"/>
        </patternFill>
      </fill>
    </dxf>
    <dxf>
      <numFmt numFmtId="166" formatCode="&quot;₹&quot;\ #,##0.0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66" formatCode="&quot;₹&quot;\ #,##0.0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66" formatCode="&quot;₹&quot;\ #,##0.0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8" formatCode="[$-10409]hh\.mm\ AM/PM;@"/>
      <border diagonalUp="0" diagonalDown="0">
        <left style="thin">
          <color indexed="64"/>
        </left>
        <right/>
        <top style="thin">
          <color indexed="64"/>
        </top>
        <bottom style="thin">
          <color indexed="64"/>
        </bottom>
        <vertical/>
        <horizontal/>
      </border>
    </dxf>
    <dxf>
      <numFmt numFmtId="166" formatCode="&quot;₹&quot;\ #,##0.0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9" formatCode="[$-409]d/mmm/yyyy;@"/>
      <border diagonalUp="0" diagonalDown="0">
        <left style="thin">
          <color indexed="64"/>
        </left>
        <right style="thin">
          <color indexed="64"/>
        </right>
        <top style="thin">
          <color indexed="64"/>
        </top>
        <bottom style="thin">
          <color indexed="64"/>
        </bottom>
        <vertical/>
        <horizontal/>
      </border>
    </dxf>
    <dxf>
      <numFmt numFmtId="166" formatCode="&quot;₹&quot;\ #,##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numFmt numFmtId="167" formatCode="[$-F800]dddd\,\ mmmm\ dd\,\ yyyy"/>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[Marathalli.xlsx]Transformed Data!PivotTable15</c:name>
    <c:fmtId val="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quot;₹&quot;\ #,##0" sourceLinked="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6E-2"/>
              <c:y val="-6.4814814814814811E-2"/>
            </c:manualLayout>
          </c:layout>
          <c:numFmt formatCode="&quot;₹&quot;\ #,##0" sourceLinked="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2777777777777674E-2"/>
              <c:y val="-0.15740740740740744"/>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4444444444444345E-2"/>
              <c:y val="-1.3888888888888888E-2"/>
            </c:manualLayout>
          </c:layout>
          <c:numFmt formatCode="&quot;₹&quot;\ #,##0" sourceLinked="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55555555555545"/>
              <c:y val="1.3888888888888888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11111111111116"/>
              <c:y val="1.3888888888888888E-2"/>
            </c:manualLayout>
          </c:layout>
          <c:numFmt formatCode="&quot;₹&quot;\ #,##0" sourceLinked="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7777777777777835E-2"/>
              <c:y val="-1.851851851851856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36E-2"/>
              <c:y val="-6.0185185185185182E-2"/>
            </c:manualLayout>
          </c:layout>
          <c:numFmt formatCode="&quot;₹&quot;\ #,##0" sourceLinked="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0.10185185185185185"/>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0.10185185185185185"/>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7777777777777835E-2"/>
              <c:y val="-1.851851851851856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55555555555545"/>
              <c:y val="1.3888888888888888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2777777777777674E-2"/>
              <c:y val="-0.15740740740740744"/>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0" sourceLinked="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36E-2"/>
              <c:y val="-6.0185185185185182E-2"/>
            </c:manualLayout>
          </c:layout>
          <c:numFmt formatCode="&quot;₹&quot;\ #,##0" sourceLinked="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11111111111116"/>
              <c:y val="1.3888888888888888E-2"/>
            </c:manualLayout>
          </c:layout>
          <c:numFmt formatCode="&quot;₹&quot;\ #,##0" sourceLinked="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4444444444444345E-2"/>
              <c:y val="-1.3888888888888888E-2"/>
            </c:manualLayout>
          </c:layout>
          <c:numFmt formatCode="&quot;₹&quot;\ #,##0" sourceLinked="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6E-2"/>
              <c:y val="-6.4814814814814811E-2"/>
            </c:manualLayout>
          </c:layout>
          <c:numFmt formatCode="&quot;₹&quot;\ #,##0" sourceLinked="0"/>
          <c:spPr>
            <a:gradFill>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0"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0.10185185185185185"/>
            </c:manualLayout>
          </c:layout>
          <c:numFmt formatCode="&quot;₹&quot;\ #,##0"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7777777777777835E-2"/>
              <c:y val="-1.8518518518518563E-2"/>
            </c:manualLayout>
          </c:layout>
          <c:numFmt formatCode="&quot;₹&quot;\ #,##0"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55555555555545"/>
              <c:y val="1.3888888888888888E-2"/>
            </c:manualLayout>
          </c:layout>
          <c:numFmt formatCode="&quot;₹&quot;\ #,##0"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2777777777777674E-2"/>
              <c:y val="-0.15740740740740744"/>
            </c:manualLayout>
          </c:layout>
          <c:numFmt formatCode="&quot;₹&quot;\ #,##0"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0" sourceLinked="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36E-2"/>
              <c:y val="-6.0185185185185182E-2"/>
            </c:manualLayout>
          </c:layout>
          <c:numFmt formatCode="&quot;₹&quot;\ #,##0" sourceLinked="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11111111111116"/>
              <c:y val="1.3888888888888888E-2"/>
            </c:manualLayout>
          </c:layout>
          <c:numFmt formatCode="&quot;₹&quot;\ #,##0" sourceLinked="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4444444444444345E-2"/>
              <c:y val="-1.3888888888888888E-2"/>
            </c:manualLayout>
          </c:layout>
          <c:numFmt formatCode="&quot;₹&quot;\ #,##0" sourceLinked="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6E-2"/>
              <c:y val="-6.4814814814814811E-2"/>
            </c:manualLayout>
          </c:layout>
          <c:numFmt formatCode="&quot;₹&quot;\ #,##0" sourceLinked="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37977296181626E-2"/>
              <c:y val="-2.0226537216828554E-2"/>
            </c:manualLayout>
          </c:layout>
          <c:numFmt formatCode="&quot;₹&quot;\ #,##0" sourceLinked="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'Transformed Data'!$I$2:$I$3</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568B-4A99-99C1-2B89E66ABCBE}"/>
              </c:ext>
            </c:extLst>
          </c:dPt>
          <c:dPt>
            <c:idx val="2"/>
            <c:invertIfNegative val="0"/>
            <c:bubble3D val="0"/>
            <c:extLst>
              <c:ext xmlns:c16="http://schemas.microsoft.com/office/drawing/2014/chart" uri="{C3380CC4-5D6E-409C-BE32-E72D297353CC}">
                <c16:uniqueId val="{00000001-568B-4A99-99C1-2B89E66ABCBE}"/>
              </c:ext>
            </c:extLst>
          </c:dPt>
          <c:dPt>
            <c:idx val="3"/>
            <c:invertIfNegative val="0"/>
            <c:bubble3D val="0"/>
            <c:extLst>
              <c:ext xmlns:c16="http://schemas.microsoft.com/office/drawing/2014/chart" uri="{C3380CC4-5D6E-409C-BE32-E72D297353CC}">
                <c16:uniqueId val="{00000002-568B-4A99-99C1-2B89E66ABCBE}"/>
              </c:ext>
            </c:extLst>
          </c:dPt>
          <c:dPt>
            <c:idx val="4"/>
            <c:invertIfNegative val="0"/>
            <c:bubble3D val="0"/>
            <c:extLst>
              <c:ext xmlns:c16="http://schemas.microsoft.com/office/drawing/2014/chart" uri="{C3380CC4-5D6E-409C-BE32-E72D297353CC}">
                <c16:uniqueId val="{00000003-568B-4A99-99C1-2B89E66ABCBE}"/>
              </c:ext>
            </c:extLst>
          </c:dPt>
          <c:dLbls>
            <c:dLbl>
              <c:idx val="0"/>
              <c:layout>
                <c:manualLayout>
                  <c:x val="-2.5000000000000001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8B-4A99-99C1-2B89E66ABCBE}"/>
                </c:ext>
              </c:extLst>
            </c:dLbl>
            <c:dLbl>
              <c:idx val="2"/>
              <c:layout>
                <c:manualLayout>
                  <c:x val="-7.7777777777777835E-2"/>
                  <c:y val="-1.8518518518518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8B-4A99-99C1-2B89E66ABCBE}"/>
                </c:ext>
              </c:extLst>
            </c:dLbl>
            <c:dLbl>
              <c:idx val="3"/>
              <c:layout>
                <c:manualLayout>
                  <c:x val="0.13055555555555545"/>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8B-4A99-99C1-2B89E66ABCBE}"/>
                </c:ext>
              </c:extLst>
            </c:dLbl>
            <c:dLbl>
              <c:idx val="4"/>
              <c:layout>
                <c:manualLayout>
                  <c:x val="5.2777777777777674E-2"/>
                  <c:y val="-0.15740740740740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8B-4A99-99C1-2B89E66ABCBE}"/>
                </c:ext>
              </c:extLst>
            </c:dLbl>
            <c:numFmt formatCode="&quot;₹&quot;\ #,##0" sourceLinked="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'Transformed Data'!$H$4:$H$8</c:f>
              <c:strCache>
                <c:ptCount val="5"/>
                <c:pt idx="0">
                  <c:v>BTM</c:v>
                </c:pt>
                <c:pt idx="1">
                  <c:v>J.P Nagar</c:v>
                </c:pt>
                <c:pt idx="2">
                  <c:v>Kormangala</c:v>
                </c:pt>
                <c:pt idx="3">
                  <c:v>Maratthahalli</c:v>
                </c:pt>
                <c:pt idx="4">
                  <c:v>Not Available</c:v>
                </c:pt>
              </c:strCache>
            </c:strRef>
          </c:cat>
          <c:val>
            <c:numRef>
              <c:f>'Transformed Data'!$I$4:$I$8</c:f>
              <c:numCache>
                <c:formatCode>General</c:formatCode>
                <c:ptCount val="5"/>
                <c:pt idx="0">
                  <c:v>8670</c:v>
                </c:pt>
                <c:pt idx="1">
                  <c:v>4670</c:v>
                </c:pt>
                <c:pt idx="2">
                  <c:v>8680</c:v>
                </c:pt>
                <c:pt idx="3">
                  <c:v>15704</c:v>
                </c:pt>
                <c:pt idx="4">
                  <c:v>780</c:v>
                </c:pt>
              </c:numCache>
            </c:numRef>
          </c:val>
          <c:extLst>
            <c:ext xmlns:c16="http://schemas.microsoft.com/office/drawing/2014/chart" uri="{C3380CC4-5D6E-409C-BE32-E72D297353CC}">
              <c16:uniqueId val="{00000004-568B-4A99-99C1-2B89E66ABCBE}"/>
            </c:ext>
          </c:extLst>
        </c:ser>
        <c:ser>
          <c:idx val="1"/>
          <c:order val="1"/>
          <c:tx>
            <c:strRef>
              <c:f>'Transformed Data'!$J$2:$J$3</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4848-4A5B-86D1-8B44FC3D6EE1}"/>
              </c:ext>
            </c:extLst>
          </c:dPt>
          <c:dPt>
            <c:idx val="1"/>
            <c:invertIfNegative val="0"/>
            <c:bubble3D val="0"/>
            <c:extLst>
              <c:ext xmlns:c16="http://schemas.microsoft.com/office/drawing/2014/chart" uri="{C3380CC4-5D6E-409C-BE32-E72D297353CC}">
                <c16:uniqueId val="{00000001-4848-4A5B-86D1-8B44FC3D6EE1}"/>
              </c:ext>
            </c:extLst>
          </c:dPt>
          <c:dPt>
            <c:idx val="2"/>
            <c:invertIfNegative val="0"/>
            <c:bubble3D val="0"/>
            <c:extLst>
              <c:ext xmlns:c16="http://schemas.microsoft.com/office/drawing/2014/chart" uri="{C3380CC4-5D6E-409C-BE32-E72D297353CC}">
                <c16:uniqueId val="{00000002-4848-4A5B-86D1-8B44FC3D6EE1}"/>
              </c:ext>
            </c:extLst>
          </c:dPt>
          <c:dPt>
            <c:idx val="3"/>
            <c:invertIfNegative val="0"/>
            <c:bubble3D val="0"/>
            <c:extLst>
              <c:ext xmlns:c16="http://schemas.microsoft.com/office/drawing/2014/chart" uri="{C3380CC4-5D6E-409C-BE32-E72D297353CC}">
                <c16:uniqueId val="{00000003-4848-4A5B-86D1-8B44FC3D6EE1}"/>
              </c:ext>
            </c:extLst>
          </c:dPt>
          <c:dPt>
            <c:idx val="4"/>
            <c:invertIfNegative val="0"/>
            <c:bubble3D val="0"/>
            <c:extLst>
              <c:ext xmlns:c16="http://schemas.microsoft.com/office/drawing/2014/chart" uri="{C3380CC4-5D6E-409C-BE32-E72D297353CC}">
                <c16:uniqueId val="{00000004-4848-4A5B-86D1-8B44FC3D6EE1}"/>
              </c:ext>
            </c:extLst>
          </c:dPt>
          <c:dLbls>
            <c:dLbl>
              <c:idx val="0"/>
              <c:layout>
                <c:manualLayout>
                  <c:x val="-1.1111111111111136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48-4A5B-86D1-8B44FC3D6EE1}"/>
                </c:ext>
              </c:extLst>
            </c:dLbl>
            <c:dLbl>
              <c:idx val="1"/>
              <c:layout>
                <c:manualLayout>
                  <c:x val="2.837977296181626E-2"/>
                  <c:y val="-2.02265372168285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48-4A5B-86D1-8B44FC3D6EE1}"/>
                </c:ext>
              </c:extLst>
            </c:dLbl>
            <c:dLbl>
              <c:idx val="2"/>
              <c:layout>
                <c:manualLayout>
                  <c:x val="-0.11111111111111116"/>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48-4A5B-86D1-8B44FC3D6EE1}"/>
                </c:ext>
              </c:extLst>
            </c:dLbl>
            <c:dLbl>
              <c:idx val="3"/>
              <c:layout>
                <c:manualLayout>
                  <c:x val="9.4444444444444345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48-4A5B-86D1-8B44FC3D6EE1}"/>
                </c:ext>
              </c:extLst>
            </c:dLbl>
            <c:dLbl>
              <c:idx val="4"/>
              <c:layout>
                <c:manualLayout>
                  <c:x val="2.7777777777777776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48-4A5B-86D1-8B44FC3D6EE1}"/>
                </c:ext>
              </c:extLst>
            </c:dLbl>
            <c:numFmt formatCode="&quot;₹&quot;\ #,##0" sourceLinked="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'Transformed Data'!$H$4:$H$8</c:f>
              <c:strCache>
                <c:ptCount val="5"/>
                <c:pt idx="0">
                  <c:v>BTM</c:v>
                </c:pt>
                <c:pt idx="1">
                  <c:v>J.P Nagar</c:v>
                </c:pt>
                <c:pt idx="2">
                  <c:v>Kormangala</c:v>
                </c:pt>
                <c:pt idx="3">
                  <c:v>Maratthahalli</c:v>
                </c:pt>
                <c:pt idx="4">
                  <c:v>Not Available</c:v>
                </c:pt>
              </c:strCache>
            </c:strRef>
          </c:cat>
          <c:val>
            <c:numRef>
              <c:f>'Transformed Data'!$J$4:$J$8</c:f>
              <c:numCache>
                <c:formatCode>General</c:formatCode>
                <c:ptCount val="5"/>
                <c:pt idx="0">
                  <c:v>14520</c:v>
                </c:pt>
                <c:pt idx="1">
                  <c:v>887</c:v>
                </c:pt>
                <c:pt idx="2">
                  <c:v>12370</c:v>
                </c:pt>
                <c:pt idx="3">
                  <c:v>12300</c:v>
                </c:pt>
                <c:pt idx="4">
                  <c:v>1681</c:v>
                </c:pt>
              </c:numCache>
            </c:numRef>
          </c:val>
          <c:extLst>
            <c:ext xmlns:c16="http://schemas.microsoft.com/office/drawing/2014/chart" uri="{C3380CC4-5D6E-409C-BE32-E72D297353CC}">
              <c16:uniqueId val="{0000000C-568B-4A99-99C1-2B89E66ABCBE}"/>
            </c:ext>
          </c:extLst>
        </c:ser>
        <c:dLbls>
          <c:showLegendKey val="0"/>
          <c:showVal val="1"/>
          <c:showCatName val="0"/>
          <c:showSerName val="0"/>
          <c:showPercent val="0"/>
          <c:showBubbleSize val="0"/>
        </c:dLbls>
        <c:gapWidth val="150"/>
        <c:shape val="box"/>
        <c:axId val="1012840911"/>
        <c:axId val="965651135"/>
        <c:axId val="0"/>
      </c:bar3DChart>
      <c:catAx>
        <c:axId val="1012840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1" i="0" u="none" strike="noStrike" kern="1200" baseline="0">
                <a:solidFill>
                  <a:schemeClr val="lt1">
                    <a:lumMod val="85000"/>
                  </a:schemeClr>
                </a:solidFill>
                <a:latin typeface="+mn-lt"/>
                <a:ea typeface="+mn-ea"/>
                <a:cs typeface="+mn-cs"/>
              </a:defRPr>
            </a:pPr>
            <a:endParaRPr lang="en-US"/>
          </a:p>
        </c:txPr>
        <c:crossAx val="965651135"/>
        <c:crosses val="autoZero"/>
        <c:auto val="1"/>
        <c:lblAlgn val="ctr"/>
        <c:lblOffset val="100"/>
        <c:noMultiLvlLbl val="0"/>
      </c:catAx>
      <c:valAx>
        <c:axId val="965651135"/>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84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[Marathalli.xlsx]Transformed Data!PivotTable17</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Annual 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'Transformed Data'!$I$10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'Transformed Data'!$H$11:$H$14</c:f>
              <c:strCache>
                <c:ptCount val="4"/>
                <c:pt idx="0">
                  <c:v>2006</c:v>
                </c:pt>
                <c:pt idx="1">
                  <c:v>2018</c:v>
                </c:pt>
                <c:pt idx="2">
                  <c:v>2019</c:v>
                </c:pt>
                <c:pt idx="3">
                  <c:v>2020</c:v>
                </c:pt>
              </c:strCache>
            </c:strRef>
          </c:cat>
          <c:val>
            <c:numRef>
              <c:f>'Transformed Data'!$I$11:$I$14</c:f>
              <c:numCache>
                <c:formatCode>General</c:formatCode>
                <c:ptCount val="4"/>
                <c:pt idx="0">
                  <c:v>400</c:v>
                </c:pt>
                <c:pt idx="1">
                  <c:v>24372</c:v>
                </c:pt>
                <c:pt idx="2">
                  <c:v>32670</c:v>
                </c:pt>
                <c:pt idx="3">
                  <c:v>22820</c:v>
                </c:pt>
              </c:numCache>
            </c:numRef>
          </c:val>
          <c:smooth val="0"/>
          <c:extLst>
            <c:ext xmlns:c16="http://schemas.microsoft.com/office/drawing/2014/chart" uri="{C3380CC4-5D6E-409C-BE32-E72D297353CC}">
              <c16:uniqueId val="{00000000-32E6-427E-9F7A-F8918E593B36}"/>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005132847"/>
        <c:axId val="1224652879"/>
      </c:lineChart>
      <c:catAx>
        <c:axId val="1005132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20" b="1" i="0" u="none" strike="noStrike" kern="1200" baseline="0">
                <a:solidFill>
                  <a:schemeClr val="lt1">
                    <a:lumMod val="75000"/>
                  </a:schemeClr>
                </a:solidFill>
                <a:latin typeface="+mn-lt"/>
                <a:ea typeface="+mn-ea"/>
                <a:cs typeface="+mn-cs"/>
              </a:defRPr>
            </a:pPr>
            <a:endParaRPr lang="en-US"/>
          </a:p>
        </c:txPr>
        <c:crossAx val="1224652879"/>
        <c:crosses val="autoZero"/>
        <c:auto val="1"/>
        <c:lblAlgn val="ctr"/>
        <c:lblOffset val="100"/>
        <c:noMultiLvlLbl val="0"/>
      </c:catAx>
      <c:valAx>
        <c:axId val="12246528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513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[Marathalli.xlsx]Transformed Data!PivotTable19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a:t>
            </a:r>
            <a:r>
              <a:rPr lang="en-IN" baseline="0"/>
              <a:t> of Orders Vs. Location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31750" cap="rnd" cmpd="sng" algn="ctr">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'Transformed Data'!$I$17:$I$18</c:f>
              <c:strCache>
                <c:ptCount val="1"/>
                <c:pt idx="0">
                  <c:v>Cash</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'Transformed Data'!$H$19:$H$23</c:f>
              <c:strCache>
                <c:ptCount val="5"/>
                <c:pt idx="0">
                  <c:v>BTM</c:v>
                </c:pt>
                <c:pt idx="1">
                  <c:v>J.P Nagar</c:v>
                </c:pt>
                <c:pt idx="2">
                  <c:v>Kormangala</c:v>
                </c:pt>
                <c:pt idx="3">
                  <c:v>Maratthahalli</c:v>
                </c:pt>
                <c:pt idx="4">
                  <c:v>Not Available</c:v>
                </c:pt>
              </c:strCache>
            </c:strRef>
          </c:cat>
          <c:val>
            <c:numRef>
              <c:f>'Transformed Data'!$I$19:$I$23</c:f>
              <c:numCache>
                <c:formatCode>General</c:formatCode>
                <c:ptCount val="5"/>
                <c:pt idx="0">
                  <c:v>10</c:v>
                </c:pt>
                <c:pt idx="1">
                  <c:v>1</c:v>
                </c:pt>
                <c:pt idx="2">
                  <c:v>9</c:v>
                </c:pt>
                <c:pt idx="3">
                  <c:v>16</c:v>
                </c:pt>
                <c:pt idx="4">
                  <c:v>5</c:v>
                </c:pt>
              </c:numCache>
            </c:numRef>
          </c:val>
          <c:smooth val="0"/>
          <c:extLst>
            <c:ext xmlns:c16="http://schemas.microsoft.com/office/drawing/2014/chart" uri="{C3380CC4-5D6E-409C-BE32-E72D297353CC}">
              <c16:uniqueId val="{00000000-3DA1-495C-9204-B6AEAD31F608}"/>
            </c:ext>
          </c:extLst>
        </c:ser>
        <c:ser>
          <c:idx val="1"/>
          <c:order val="1"/>
          <c:tx>
            <c:strRef>
              <c:f>'Transformed Data'!$J$17:$J$18</c:f>
              <c:strCache>
                <c:ptCount val="1"/>
                <c:pt idx="0">
                  <c:v>Online </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'Transformed Data'!$H$19:$H$23</c:f>
              <c:strCache>
                <c:ptCount val="5"/>
                <c:pt idx="0">
                  <c:v>BTM</c:v>
                </c:pt>
                <c:pt idx="1">
                  <c:v>J.P Nagar</c:v>
                </c:pt>
                <c:pt idx="2">
                  <c:v>Kormangala</c:v>
                </c:pt>
                <c:pt idx="3">
                  <c:v>Maratthahalli</c:v>
                </c:pt>
                <c:pt idx="4">
                  <c:v>Not Available</c:v>
                </c:pt>
              </c:strCache>
            </c:strRef>
          </c:cat>
          <c:val>
            <c:numRef>
              <c:f>'Transformed Data'!$J$19:$J$23</c:f>
              <c:numCache>
                <c:formatCode>General</c:formatCode>
                <c:ptCount val="5"/>
                <c:pt idx="0">
                  <c:v>20</c:v>
                </c:pt>
                <c:pt idx="1">
                  <c:v>8</c:v>
                </c:pt>
                <c:pt idx="2">
                  <c:v>14</c:v>
                </c:pt>
                <c:pt idx="3">
                  <c:v>16</c:v>
                </c:pt>
                <c:pt idx="4">
                  <c:v>1</c:v>
                </c:pt>
              </c:numCache>
            </c:numRef>
          </c:val>
          <c:smooth val="0"/>
          <c:extLst>
            <c:ext xmlns:c16="http://schemas.microsoft.com/office/drawing/2014/chart" uri="{C3380CC4-5D6E-409C-BE32-E72D297353CC}">
              <c16:uniqueId val="{00000004-3DA1-495C-9204-B6AEAD31F608}"/>
            </c:ext>
          </c:extLst>
        </c:ser>
        <c:dLbls>
          <c:dLblPos val="ctr"/>
          <c:showLegendKey val="0"/>
          <c:showVal val="1"/>
          <c:showCatName val="0"/>
          <c:showSerName val="0"/>
          <c:showPercent val="0"/>
          <c:showBubbleSize val="0"/>
        </c:dLbls>
        <c:marker val="1"/>
        <c:smooth val="0"/>
        <c:axId val="460635839"/>
        <c:axId val="1012268895"/>
      </c:lineChart>
      <c:catAx>
        <c:axId val="4606358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2268895"/>
        <c:crosses val="autoZero"/>
        <c:auto val="1"/>
        <c:lblAlgn val="ctr"/>
        <c:lblOffset val="100"/>
        <c:noMultiLvlLbl val="0"/>
      </c:catAx>
      <c:valAx>
        <c:axId val="10122688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0635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[Marathalli.xlsx]Transformed Data!PivotTable16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 Ordered Items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'Transformed Data'!$M$2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D0B-4C84-802A-E0093EA39EF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D0B-4C84-802A-E0093EA39EF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D0B-4C84-802A-E0093EA39EF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D0B-4C84-802A-E0093EA39E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'Transformed Data'!$L$3:$L$6</c:f>
              <c:strCache>
                <c:ptCount val="4"/>
                <c:pt idx="0">
                  <c:v>Chicken Pizza</c:v>
                </c:pt>
                <c:pt idx="1">
                  <c:v>Margherita Pizza</c:v>
                </c:pt>
                <c:pt idx="2">
                  <c:v>Spicy Panner Pizza</c:v>
                </c:pt>
                <c:pt idx="3">
                  <c:v>Veggie Pizza</c:v>
                </c:pt>
              </c:strCache>
            </c:strRef>
          </c:cat>
          <c:val>
            <c:numRef>
              <c:f>'Transformed Data'!$M$3:$M$6</c:f>
              <c:numCache>
                <c:formatCode>General</c:formatCode>
                <c:ptCount val="4"/>
                <c:pt idx="0">
                  <c:v>27</c:v>
                </c:pt>
                <c:pt idx="1">
                  <c:v>19</c:v>
                </c:pt>
                <c:pt idx="2">
                  <c:v>23</c:v>
                </c:pt>
                <c:pt idx="3">
                  <c:v>31</c:v>
                </c:pt>
              </c:numCache>
            </c:numRef>
          </c:val>
          <c:extLst>
            <c:ext xmlns:c16="http://schemas.microsoft.com/office/drawing/2014/chart" uri="{C3380CC4-5D6E-409C-BE32-E72D297353CC}">
              <c16:uniqueId val="{00000008-3D0B-4C84-802A-E0093EA39EF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[Marathalli.xlsx]Transformed Data!PivotTable18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 of Orders</a:t>
            </a:r>
            <a:r>
              <a:rPr lang="en-IN" baseline="0"/>
              <a:t> Vs.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5740740740740741"/>
            </c:manualLayout>
          </c:layout>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185067526415994E-16"/>
              <c:y val="9.722222222222222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1574074074074074"/>
            </c:manualLayout>
          </c:layout>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4814814814814814"/>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0.1435185185185185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1574074074074066"/>
            </c:manualLayout>
          </c:layout>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1574074074074066"/>
            </c:manualLayout>
          </c:layout>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1574074074074074"/>
            </c:manualLayout>
          </c:layout>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5740740740740741"/>
            </c:manualLayout>
          </c:layout>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0.1435185185185185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4814814814814814"/>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185067526415994E-16"/>
              <c:y val="9.722222222222222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1574074074074066"/>
            </c:manualLayout>
          </c:layout>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1574074074074074"/>
            </c:manualLayout>
          </c:layout>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5740740740740741"/>
            </c:manualLayout>
          </c:layout>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0.1435185185185185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4814814814814814"/>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185067526415994E-16"/>
              <c:y val="9.722222222222222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'Transformed Data'!$L$10:$L$11</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EED0-4580-8657-3F42B36C7137}"/>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ED0-4580-8657-3F42B36C7137}"/>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EED0-4580-8657-3F42B36C7137}"/>
              </c:ext>
            </c:extLst>
          </c:dPt>
          <c:dLbls>
            <c:dLbl>
              <c:idx val="1"/>
              <c:layout>
                <c:manualLayout>
                  <c:x val="0"/>
                  <c:y val="0.11574074074074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D0-4580-8657-3F42B36C7137}"/>
                </c:ext>
              </c:extLst>
            </c:dLbl>
            <c:dLbl>
              <c:idx val="2"/>
              <c:layout>
                <c:manualLayout>
                  <c:x val="0"/>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D0-4580-8657-3F42B36C7137}"/>
                </c:ext>
              </c:extLst>
            </c:dLbl>
            <c:dLbl>
              <c:idx val="3"/>
              <c:layout>
                <c:manualLayout>
                  <c:x val="0"/>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D0-4580-8657-3F42B36C7137}"/>
                </c:ext>
              </c:extLst>
            </c:dLbl>
            <c:spPr>
              <a:solidFill>
                <a:schemeClr val="tx1"/>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'Transformed Data'!$K$12:$K$15</c:f>
              <c:strCache>
                <c:ptCount val="4"/>
                <c:pt idx="0">
                  <c:v>2006</c:v>
                </c:pt>
                <c:pt idx="1">
                  <c:v>2018</c:v>
                </c:pt>
                <c:pt idx="2">
                  <c:v>2019</c:v>
                </c:pt>
                <c:pt idx="3">
                  <c:v>2020</c:v>
                </c:pt>
              </c:strCache>
            </c:strRef>
          </c:cat>
          <c:val>
            <c:numRef>
              <c:f>'Transformed Data'!$L$12:$L$15</c:f>
              <c:numCache>
                <c:formatCode>General</c:formatCode>
                <c:ptCount val="4"/>
                <c:pt idx="1">
                  <c:v>12</c:v>
                </c:pt>
                <c:pt idx="2">
                  <c:v>20</c:v>
                </c:pt>
                <c:pt idx="3">
                  <c:v>20</c:v>
                </c:pt>
              </c:numCache>
            </c:numRef>
          </c:val>
          <c:extLst>
            <c:ext xmlns:c16="http://schemas.microsoft.com/office/drawing/2014/chart" uri="{C3380CC4-5D6E-409C-BE32-E72D297353CC}">
              <c16:uniqueId val="{00000003-EED0-4580-8657-3F42B36C7137}"/>
            </c:ext>
          </c:extLst>
        </c:ser>
        <c:ser>
          <c:idx val="1"/>
          <c:order val="1"/>
          <c:tx>
            <c:strRef>
              <c:f>'Transformed Data'!$M$10:$M$11</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32FA-490C-8667-A4EBF215D175}"/>
              </c:ext>
            </c:extLst>
          </c:dPt>
          <c:dPt>
            <c:idx val="2"/>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2FA-490C-8667-A4EBF215D175}"/>
              </c:ext>
            </c:extLst>
          </c:dPt>
          <c:dPt>
            <c:idx val="3"/>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32FA-490C-8667-A4EBF215D175}"/>
              </c:ext>
            </c:extLst>
          </c:dPt>
          <c:dLbls>
            <c:dLbl>
              <c:idx val="1"/>
              <c:layout>
                <c:manualLayout>
                  <c:x val="-5.0925337632079971E-17"/>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FA-490C-8667-A4EBF215D175}"/>
                </c:ext>
              </c:extLst>
            </c:dLbl>
            <c:dLbl>
              <c:idx val="2"/>
              <c:layout>
                <c:manualLayout>
                  <c:x val="0"/>
                  <c:y val="0.14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FA-490C-8667-A4EBF215D175}"/>
                </c:ext>
              </c:extLst>
            </c:dLbl>
            <c:dLbl>
              <c:idx val="3"/>
              <c:layout>
                <c:manualLayout>
                  <c:x val="-1.0185067526415994E-16"/>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FA-490C-8667-A4EBF215D175}"/>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'Transformed Data'!$K$12:$K$15</c:f>
              <c:strCache>
                <c:ptCount val="4"/>
                <c:pt idx="0">
                  <c:v>2006</c:v>
                </c:pt>
                <c:pt idx="1">
                  <c:v>2018</c:v>
                </c:pt>
                <c:pt idx="2">
                  <c:v>2019</c:v>
                </c:pt>
                <c:pt idx="3">
                  <c:v>2020</c:v>
                </c:pt>
              </c:strCache>
            </c:strRef>
          </c:cat>
          <c:val>
            <c:numRef>
              <c:f>'Transformed Data'!$M$12:$M$15</c:f>
              <c:numCache>
                <c:formatCode>General</c:formatCode>
                <c:ptCount val="4"/>
                <c:pt idx="0">
                  <c:v>1</c:v>
                </c:pt>
                <c:pt idx="1">
                  <c:v>18</c:v>
                </c:pt>
                <c:pt idx="2">
                  <c:v>19</c:v>
                </c:pt>
                <c:pt idx="3">
                  <c:v>10</c:v>
                </c:pt>
              </c:numCache>
            </c:numRef>
          </c:val>
          <c:extLst>
            <c:ext xmlns:c16="http://schemas.microsoft.com/office/drawing/2014/chart" uri="{C3380CC4-5D6E-409C-BE32-E72D297353CC}">
              <c16:uniqueId val="{00000009-EED0-4580-8657-3F42B36C7137}"/>
            </c:ext>
          </c:extLst>
        </c:ser>
        <c:dLbls>
          <c:showLegendKey val="0"/>
          <c:showVal val="0"/>
          <c:showCatName val="0"/>
          <c:showSerName val="0"/>
          <c:showPercent val="0"/>
          <c:showBubbleSize val="0"/>
        </c:dLbls>
        <c:gapWidth val="150"/>
        <c:shape val="box"/>
        <c:axId val="961335871"/>
        <c:axId val="1009614847"/>
        <c:axId val="0"/>
      </c:bar3DChart>
      <c:catAx>
        <c:axId val="961335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9614847"/>
        <c:crosses val="autoZero"/>
        <c:auto val="1"/>
        <c:lblAlgn val="ctr"/>
        <c:lblOffset val="100"/>
        <c:noMultiLvlLbl val="0"/>
      </c:catAx>
      <c:valAx>
        <c:axId val="100961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6133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[Marathalli.xlsx]Transformed Data!PivotTable20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a:t>
            </a:r>
            <a:r>
              <a:rPr lang="en-US" baseline="0"/>
              <a:t> of Orders Vs. Days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'Transformed Data'!$M$17</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'Transformed Data'!$L$18:$L$24</c:f>
              <c:strCache>
                <c:ptCount val="7"/>
                <c:pt idx="0">
                  <c:v>Monday</c:v>
                </c:pt>
                <c:pt idx="1">
                  <c:v>Tuesday</c:v>
                </c:pt>
                <c:pt idx="2">
                  <c:v>Wednesday</c:v>
                </c:pt>
                <c:pt idx="3">
                  <c:v>Thursday</c:v>
                </c:pt>
                <c:pt idx="4">
                  <c:v>Friday</c:v>
                </c:pt>
                <c:pt idx="5">
                  <c:v>Saturday</c:v>
                </c:pt>
                <c:pt idx="6">
                  <c:v>Sunday</c:v>
                </c:pt>
              </c:strCache>
            </c:strRef>
          </c:cat>
          <c:val>
            <c:numRef>
              <c:f>'Transformed Data'!$M$18:$M$24</c:f>
              <c:numCache>
                <c:formatCode>General</c:formatCode>
                <c:ptCount val="7"/>
                <c:pt idx="0">
                  <c:v>14</c:v>
                </c:pt>
                <c:pt idx="1">
                  <c:v>18</c:v>
                </c:pt>
                <c:pt idx="2">
                  <c:v>16</c:v>
                </c:pt>
                <c:pt idx="3">
                  <c:v>19</c:v>
                </c:pt>
                <c:pt idx="4">
                  <c:v>13</c:v>
                </c:pt>
                <c:pt idx="5">
                  <c:v>13</c:v>
                </c:pt>
                <c:pt idx="6">
                  <c:v>7</c:v>
                </c:pt>
              </c:numCache>
            </c:numRef>
          </c:val>
          <c:smooth val="0"/>
          <c:extLst>
            <c:ext xmlns:c16="http://schemas.microsoft.com/office/drawing/2014/chart" uri="{C3380CC4-5D6E-409C-BE32-E72D297353CC}">
              <c16:uniqueId val="{00000000-A7C3-46A0-8232-E7ECB691CF24}"/>
            </c:ext>
          </c:extLst>
        </c:ser>
        <c:dLbls>
          <c:dLblPos val="t"/>
          <c:showLegendKey val="0"/>
          <c:showVal val="1"/>
          <c:showCatName val="0"/>
          <c:showSerName val="0"/>
          <c:showPercent val="0"/>
          <c:showBubbleSize val="0"/>
        </c:dLbls>
        <c:marker val="1"/>
        <c:smooth val="0"/>
        <c:axId val="1223795279"/>
        <c:axId val="461175071"/>
      </c:lineChart>
      <c:catAx>
        <c:axId val="1223795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61175071"/>
        <c:crosses val="autoZero"/>
        <c:auto val="1"/>
        <c:lblAlgn val="ctr"/>
        <c:lblOffset val="100"/>
        <c:noMultiLvlLbl val="0"/>
      </c:catAx>
      <c:valAx>
        <c:axId val="46117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379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[Marathalli.xlsx]Transformed Data!PivotTable21</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Time Vs</a:t>
            </a:r>
            <a:r>
              <a:rPr lang="en-US" baseline="0"/>
              <a:t> Count Of Orders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'Transformed Data'!$P$2</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'Transformed Data'!$O$3:$O$12</c:f>
              <c:strCache>
                <c:ptCount val="10"/>
                <c:pt idx="0">
                  <c:v>11 AM</c:v>
                </c:pt>
                <c:pt idx="1">
                  <c:v>12 PM</c:v>
                </c:pt>
                <c:pt idx="2">
                  <c:v>1 PM</c:v>
                </c:pt>
                <c:pt idx="3">
                  <c:v>2 PM</c:v>
                </c:pt>
                <c:pt idx="4">
                  <c:v>3 PM</c:v>
                </c:pt>
                <c:pt idx="5">
                  <c:v>4 PM</c:v>
                </c:pt>
                <c:pt idx="6">
                  <c:v>5 PM</c:v>
                </c:pt>
                <c:pt idx="7">
                  <c:v>6 PM</c:v>
                </c:pt>
                <c:pt idx="8">
                  <c:v>7 PM</c:v>
                </c:pt>
                <c:pt idx="9">
                  <c:v>8 PM</c:v>
                </c:pt>
              </c:strCache>
            </c:strRef>
          </c:cat>
          <c:val>
            <c:numRef>
              <c:f>'Transformed Data'!$P$3:$P$12</c:f>
              <c:numCache>
                <c:formatCode>General</c:formatCode>
                <c:ptCount val="10"/>
                <c:pt idx="0">
                  <c:v>10</c:v>
                </c:pt>
                <c:pt idx="1">
                  <c:v>11</c:v>
                </c:pt>
                <c:pt idx="2">
                  <c:v>9</c:v>
                </c:pt>
                <c:pt idx="3">
                  <c:v>11</c:v>
                </c:pt>
                <c:pt idx="4">
                  <c:v>14</c:v>
                </c:pt>
                <c:pt idx="5">
                  <c:v>11</c:v>
                </c:pt>
                <c:pt idx="6">
                  <c:v>14</c:v>
                </c:pt>
                <c:pt idx="7">
                  <c:v>9</c:v>
                </c:pt>
                <c:pt idx="8">
                  <c:v>10</c:v>
                </c:pt>
                <c:pt idx="9">
                  <c:v>1</c:v>
                </c:pt>
              </c:numCache>
            </c:numRef>
          </c:val>
          <c:smooth val="0"/>
          <c:extLst>
            <c:ext xmlns:c16="http://schemas.microsoft.com/office/drawing/2014/chart" uri="{C3380CC4-5D6E-409C-BE32-E72D297353CC}">
              <c16:uniqueId val="{00000000-CA37-42F1-BD40-7C32D33E2B3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63561599"/>
        <c:axId val="1224647423"/>
      </c:lineChart>
      <c:catAx>
        <c:axId val="9635615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24647423"/>
        <c:crosses val="autoZero"/>
        <c:auto val="1"/>
        <c:lblAlgn val="ctr"/>
        <c:lblOffset val="100"/>
        <c:noMultiLvlLbl val="0"/>
      </c:catAx>
      <c:valAx>
        <c:axId val="1224647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356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[Marathalli.xlsx]Transformed Data!PivotTable22</c:name>
    <c:fmtId val="4"/>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4">
                <a:alpha val="85000"/>
              </a:schemeClr>
            </a:solidFill>
            <a:ln>
              <a:noFill/>
            </a:ln>
            <a:effectLst/>
          </c:spPr>
        </c:marke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'Transformed Data'!$P$14:$P$15</c:f>
              <c:strCache>
                <c:ptCount val="1"/>
                <c:pt idx="0">
                  <c:v>2006</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'Transformed Data'!$O$16:$O$20</c:f>
              <c:strCache>
                <c:ptCount val="5"/>
                <c:pt idx="0">
                  <c:v>Average</c:v>
                </c:pt>
                <c:pt idx="1">
                  <c:v>Bad</c:v>
                </c:pt>
                <c:pt idx="2">
                  <c:v>Excellent</c:v>
                </c:pt>
                <c:pt idx="3">
                  <c:v>Good</c:v>
                </c:pt>
                <c:pt idx="4">
                  <c:v>Not Available</c:v>
                </c:pt>
              </c:strCache>
            </c:strRef>
          </c:cat>
          <c:val>
            <c:numRef>
              <c:f>'Transformed Data'!$P$16:$P$20</c:f>
              <c:numCache>
                <c:formatCode>General</c:formatCode>
                <c:ptCount val="5"/>
                <c:pt idx="4">
                  <c:v>1</c:v>
                </c:pt>
              </c:numCache>
            </c:numRef>
          </c:val>
          <c:extLst>
            <c:ext xmlns:c16="http://schemas.microsoft.com/office/drawing/2014/chart" uri="{C3380CC4-5D6E-409C-BE32-E72D297353CC}">
              <c16:uniqueId val="{00000000-5887-4B16-B0D4-C0876EDCB5C2}"/>
            </c:ext>
          </c:extLst>
        </c:ser>
        <c:ser>
          <c:idx val="1"/>
          <c:order val="1"/>
          <c:tx>
            <c:strRef>
              <c:f>'Transformed Data'!$Q$14:$Q$15</c:f>
              <c:strCache>
                <c:ptCount val="1"/>
                <c:pt idx="0">
                  <c:v>2018</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'Transformed Data'!$O$16:$O$20</c:f>
              <c:strCache>
                <c:ptCount val="5"/>
                <c:pt idx="0">
                  <c:v>Average</c:v>
                </c:pt>
                <c:pt idx="1">
                  <c:v>Bad</c:v>
                </c:pt>
                <c:pt idx="2">
                  <c:v>Excellent</c:v>
                </c:pt>
                <c:pt idx="3">
                  <c:v>Good</c:v>
                </c:pt>
                <c:pt idx="4">
                  <c:v>Not Available</c:v>
                </c:pt>
              </c:strCache>
            </c:strRef>
          </c:cat>
          <c:val>
            <c:numRef>
              <c:f>'Transformed Data'!$Q$16:$Q$20</c:f>
              <c:numCache>
                <c:formatCode>General</c:formatCode>
                <c:ptCount val="5"/>
                <c:pt idx="0">
                  <c:v>6</c:v>
                </c:pt>
                <c:pt idx="1">
                  <c:v>5</c:v>
                </c:pt>
                <c:pt idx="2">
                  <c:v>9</c:v>
                </c:pt>
                <c:pt idx="3">
                  <c:v>6</c:v>
                </c:pt>
                <c:pt idx="4">
                  <c:v>4</c:v>
                </c:pt>
              </c:numCache>
            </c:numRef>
          </c:val>
          <c:extLst>
            <c:ext xmlns:c16="http://schemas.microsoft.com/office/drawing/2014/chart" uri="{C3380CC4-5D6E-409C-BE32-E72D297353CC}">
              <c16:uniqueId val="{00000001-5887-4B16-B0D4-C0876EDCB5C2}"/>
            </c:ext>
          </c:extLst>
        </c:ser>
        <c:ser>
          <c:idx val="2"/>
          <c:order val="2"/>
          <c:tx>
            <c:strRef>
              <c:f>'Transformed Data'!$R$14:$R$15</c:f>
              <c:strCache>
                <c:ptCount val="1"/>
                <c:pt idx="0">
                  <c:v>2019</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'Transformed Data'!$O$16:$O$20</c:f>
              <c:strCache>
                <c:ptCount val="5"/>
                <c:pt idx="0">
                  <c:v>Average</c:v>
                </c:pt>
                <c:pt idx="1">
                  <c:v>Bad</c:v>
                </c:pt>
                <c:pt idx="2">
                  <c:v>Excellent</c:v>
                </c:pt>
                <c:pt idx="3">
                  <c:v>Good</c:v>
                </c:pt>
                <c:pt idx="4">
                  <c:v>Not Available</c:v>
                </c:pt>
              </c:strCache>
            </c:strRef>
          </c:cat>
          <c:val>
            <c:numRef>
              <c:f>'Transformed Data'!$R$16:$R$20</c:f>
              <c:numCache>
                <c:formatCode>General</c:formatCode>
                <c:ptCount val="5"/>
                <c:pt idx="0">
                  <c:v>10</c:v>
                </c:pt>
                <c:pt idx="1">
                  <c:v>6</c:v>
                </c:pt>
                <c:pt idx="2">
                  <c:v>8</c:v>
                </c:pt>
                <c:pt idx="3">
                  <c:v>12</c:v>
                </c:pt>
                <c:pt idx="4">
                  <c:v>3</c:v>
                </c:pt>
              </c:numCache>
            </c:numRef>
          </c:val>
          <c:extLst>
            <c:ext xmlns:c16="http://schemas.microsoft.com/office/drawing/2014/chart" uri="{C3380CC4-5D6E-409C-BE32-E72D297353CC}">
              <c16:uniqueId val="{00000002-5887-4B16-B0D4-C0876EDCB5C2}"/>
            </c:ext>
          </c:extLst>
        </c:ser>
        <c:ser>
          <c:idx val="3"/>
          <c:order val="3"/>
          <c:tx>
            <c:strRef>
              <c:f>'Transformed Data'!$S$14:$S$15</c:f>
              <c:strCache>
                <c:ptCount val="1"/>
                <c:pt idx="0">
                  <c:v>2020</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'Transformed Data'!$O$16:$O$20</c:f>
              <c:strCache>
                <c:ptCount val="5"/>
                <c:pt idx="0">
                  <c:v>Average</c:v>
                </c:pt>
                <c:pt idx="1">
                  <c:v>Bad</c:v>
                </c:pt>
                <c:pt idx="2">
                  <c:v>Excellent</c:v>
                </c:pt>
                <c:pt idx="3">
                  <c:v>Good</c:v>
                </c:pt>
                <c:pt idx="4">
                  <c:v>Not Available</c:v>
                </c:pt>
              </c:strCache>
            </c:strRef>
          </c:cat>
          <c:val>
            <c:numRef>
              <c:f>'Transformed Data'!$S$16:$S$20</c:f>
              <c:numCache>
                <c:formatCode>General</c:formatCode>
                <c:ptCount val="5"/>
                <c:pt idx="0">
                  <c:v>2</c:v>
                </c:pt>
                <c:pt idx="1">
                  <c:v>2</c:v>
                </c:pt>
                <c:pt idx="2">
                  <c:v>5</c:v>
                </c:pt>
                <c:pt idx="3">
                  <c:v>16</c:v>
                </c:pt>
                <c:pt idx="4">
                  <c:v>5</c:v>
                </c:pt>
              </c:numCache>
            </c:numRef>
          </c:val>
          <c:extLst>
            <c:ext xmlns:c16="http://schemas.microsoft.com/office/drawing/2014/chart" uri="{C3380CC4-5D6E-409C-BE32-E72D297353CC}">
              <c16:uniqueId val="{00000006-5887-4B16-B0D4-C0876EDCB5C2}"/>
            </c:ext>
          </c:extLst>
        </c:ser>
        <c:dLbls>
          <c:showLegendKey val="0"/>
          <c:showVal val="0"/>
          <c:showCatName val="0"/>
          <c:showSerName val="0"/>
          <c:showPercent val="0"/>
          <c:showBubbleSize val="0"/>
        </c:dLbls>
        <c:gapWidth val="65"/>
        <c:shape val="box"/>
        <c:axId val="1336612015"/>
        <c:axId val="1372196351"/>
        <c:axId val="0"/>
      </c:bar3DChart>
      <c:catAx>
        <c:axId val="13366120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2196351"/>
        <c:crosses val="autoZero"/>
        <c:auto val="1"/>
        <c:lblAlgn val="ctr"/>
        <c:lblOffset val="100"/>
        <c:noMultiLvlLbl val="0"/>
      </c:catAx>
      <c:valAx>
        <c:axId val="137219635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366120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[Marathalli.xlsx]Transformed Data!PivotTable1</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Mode</a:t>
            </a:r>
            <a:r>
              <a:rPr lang="en-US" baseline="0"/>
              <a:t> of payment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'Transformed Data'!$I$25</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1E3-470F-9E9A-E4CF53755D6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1E3-470F-9E9A-E4CF53755D6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01E3-470F-9E9A-E4CF53755D6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01E3-470F-9E9A-E4CF53755D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'Transformed Data'!$H$26:$H$27</c:f>
              <c:strCache>
                <c:ptCount val="2"/>
                <c:pt idx="0">
                  <c:v>Cash</c:v>
                </c:pt>
                <c:pt idx="1">
                  <c:v>Online</c:v>
                </c:pt>
              </c:strCache>
            </c:strRef>
          </c:cat>
          <c:val>
            <c:numRef>
              <c:f>'Transformed Data'!$I$26:$I$27</c:f>
              <c:numCache>
                <c:formatCode>General</c:formatCode>
                <c:ptCount val="2"/>
                <c:pt idx="0">
                  <c:v>41</c:v>
                </c:pt>
                <c:pt idx="1">
                  <c:v>59</c:v>
                </c:pt>
              </c:numCache>
            </c:numRef>
          </c:val>
          <c:extLst>
            <c:ext xmlns:c16="http://schemas.microsoft.com/office/drawing/2014/chart" uri="{C3380CC4-5D6E-409C-BE32-E72D297353CC}">
              <c16:uniqueId val="{00000004-01E3-470F-9E9A-E4CF53755D61}"/>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259080</xdr:colOff>
      <xdr:row>4</xdr:row>
      <xdr:rowOff>0</xdr:rowOff>
    </xdr:from>
    <xdr:to>
      <xdr:col>8</xdr:col>
      <xdr:colOff>304800</xdr:colOff>
      <xdr:row>20</xdr:row>
      <xdr:rowOff>175260</xdr:rowOff>
    </xdr:to>
    <xdr:graphicFrame macro="">
      <xdr:nvGraphicFramePr>
        <xdr:cNvPr id="2" name="Chart 1">
          <a:extLst>
            <a:ext uri="{FF2B5EF4-FFF2-40B4-BE49-F238E27FC236}">
              <a16:creationId xmlns:a16="http://schemas.microsoft.com/office/drawing/2014/main" id="{4196A00F-C188-4D4F-8AB7-0D476753F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350520</xdr:colOff>
      <xdr:row>4</xdr:row>
      <xdr:rowOff>0</xdr:rowOff>
    </xdr:from>
    <xdr:to>
      <xdr:col>16</xdr:col>
      <xdr:colOff>274320</xdr:colOff>
      <xdr:row>21</xdr:row>
      <xdr:rowOff>0</xdr:rowOff>
    </xdr:to>
    <xdr:graphicFrame macro="">
      <xdr:nvGraphicFramePr>
        <xdr:cNvPr id="3" name="Chart 2">
          <a:extLst>
            <a:ext uri="{FF2B5EF4-FFF2-40B4-BE49-F238E27FC236}">
              <a16:creationId xmlns:a16="http://schemas.microsoft.com/office/drawing/2014/main" id="{462E5A01-849D-46B5-83DB-767D9BC7D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342899</xdr:colOff>
      <xdr:row>4</xdr:row>
      <xdr:rowOff>0</xdr:rowOff>
    </xdr:from>
    <xdr:to>
      <xdr:col>25</xdr:col>
      <xdr:colOff>387926</xdr:colOff>
      <xdr:row>21</xdr:row>
      <xdr:rowOff>7620</xdr:rowOff>
    </xdr:to>
    <xdr:graphicFrame macro="">
      <xdr:nvGraphicFramePr>
        <xdr:cNvPr id="4" name="Chart 3">
          <a:extLst>
            <a:ext uri="{FF2B5EF4-FFF2-40B4-BE49-F238E27FC236}">
              <a16:creationId xmlns:a16="http://schemas.microsoft.com/office/drawing/2014/main" id="{E9EA1009-5183-4B12-A61A-2C095B232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243840</xdr:colOff>
      <xdr:row>21</xdr:row>
      <xdr:rowOff>38100</xdr:rowOff>
    </xdr:from>
    <xdr:to>
      <xdr:col>6</xdr:col>
      <xdr:colOff>22860</xdr:colOff>
      <xdr:row>36</xdr:row>
      <xdr:rowOff>38100</xdr:rowOff>
    </xdr:to>
    <xdr:graphicFrame macro="">
      <xdr:nvGraphicFramePr>
        <xdr:cNvPr id="6" name="Chart 5">
          <a:extLst>
            <a:ext uri="{FF2B5EF4-FFF2-40B4-BE49-F238E27FC236}">
              <a16:creationId xmlns:a16="http://schemas.microsoft.com/office/drawing/2014/main" id="{0C7E3D30-C6AB-4B5A-9046-71D4501BB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99060</xdr:colOff>
      <xdr:row>21</xdr:row>
      <xdr:rowOff>30480</xdr:rowOff>
    </xdr:from>
    <xdr:to>
      <xdr:col>13</xdr:col>
      <xdr:colOff>7620</xdr:colOff>
      <xdr:row>36</xdr:row>
      <xdr:rowOff>30480</xdr:rowOff>
    </xdr:to>
    <xdr:graphicFrame macro="">
      <xdr:nvGraphicFramePr>
        <xdr:cNvPr id="7" name="Chart 6">
          <a:extLst>
            <a:ext uri="{FF2B5EF4-FFF2-40B4-BE49-F238E27FC236}">
              <a16:creationId xmlns:a16="http://schemas.microsoft.com/office/drawing/2014/main" id="{0902D4DA-6020-4F4A-A542-9909079DF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68579</xdr:colOff>
      <xdr:row>21</xdr:row>
      <xdr:rowOff>30480</xdr:rowOff>
    </xdr:from>
    <xdr:to>
      <xdr:col>25</xdr:col>
      <xdr:colOff>429490</xdr:colOff>
      <xdr:row>36</xdr:row>
      <xdr:rowOff>30480</xdr:rowOff>
    </xdr:to>
    <xdr:graphicFrame macro="">
      <xdr:nvGraphicFramePr>
        <xdr:cNvPr id="8" name="Chart 7">
          <a:extLst>
            <a:ext uri="{FF2B5EF4-FFF2-40B4-BE49-F238E27FC236}">
              <a16:creationId xmlns:a16="http://schemas.microsoft.com/office/drawing/2014/main" id="{527600D5-D6EB-40D2-B3E0-6178E0534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236220</xdr:colOff>
      <xdr:row>36</xdr:row>
      <xdr:rowOff>110836</xdr:rowOff>
    </xdr:from>
    <xdr:to>
      <xdr:col>13</xdr:col>
      <xdr:colOff>7620</xdr:colOff>
      <xdr:row>53</xdr:row>
      <xdr:rowOff>0</xdr:rowOff>
    </xdr:to>
    <xdr:graphicFrame macro="">
      <xdr:nvGraphicFramePr>
        <xdr:cNvPr id="9" name="Chart 8">
          <a:extLst>
            <a:ext uri="{FF2B5EF4-FFF2-40B4-BE49-F238E27FC236}">
              <a16:creationId xmlns:a16="http://schemas.microsoft.com/office/drawing/2014/main" id="{8B619209-8DBB-4214-9B2E-14723B8A5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68580</xdr:colOff>
      <xdr:row>36</xdr:row>
      <xdr:rowOff>110836</xdr:rowOff>
    </xdr:from>
    <xdr:to>
      <xdr:col>25</xdr:col>
      <xdr:colOff>297180</xdr:colOff>
      <xdr:row>53</xdr:row>
      <xdr:rowOff>0</xdr:rowOff>
    </xdr:to>
    <xdr:graphicFrame macro="">
      <xdr:nvGraphicFramePr>
        <xdr:cNvPr id="10" name="Chart 9">
          <a:extLst>
            <a:ext uri="{FF2B5EF4-FFF2-40B4-BE49-F238E27FC236}">
              <a16:creationId xmlns:a16="http://schemas.microsoft.com/office/drawing/2014/main" id="{4DC1E105-CFE3-4657-8C8B-21F655CD4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25</xdr:col>
      <xdr:colOff>471651</xdr:colOff>
      <xdr:row>4</xdr:row>
      <xdr:rowOff>36524</xdr:rowOff>
    </xdr:from>
    <xdr:to>
      <xdr:col>28</xdr:col>
      <xdr:colOff>487417</xdr:colOff>
      <xdr:row>9</xdr:row>
      <xdr:rowOff>0</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0B9C844C-E72E-4FD3-4543-B2F10A92D5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580272" y="785386"/>
              <a:ext cx="1828800" cy="883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478746</xdr:colOff>
      <xdr:row>9</xdr:row>
      <xdr:rowOff>30481</xdr:rowOff>
    </xdr:from>
    <xdr:to>
      <xdr:col>28</xdr:col>
      <xdr:colOff>494512</xdr:colOff>
      <xdr:row>18</xdr:row>
      <xdr:rowOff>1</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426F3142-21B2-DD3B-B9BE-A4E961605FC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5587367" y="1698998"/>
              <a:ext cx="1828800" cy="162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485840</xdr:colOff>
      <xdr:row>18</xdr:row>
      <xdr:rowOff>76988</xdr:rowOff>
    </xdr:from>
    <xdr:to>
      <xdr:col>28</xdr:col>
      <xdr:colOff>501606</xdr:colOff>
      <xdr:row>31</xdr:row>
      <xdr:rowOff>152860</xdr:rowOff>
    </xdr:to>
    <mc:AlternateContent xmlns:mc="http://schemas.openxmlformats.org/markup-compatibility/2006" xmlns:a14="http://schemas.microsoft.com/office/drawing/2010/main">
      <mc:Choice Requires="a14">
        <xdr:graphicFrame macro="">
          <xdr:nvGraphicFramePr>
            <xdr:cNvPr id="13" name="Review">
              <a:extLst>
                <a:ext uri="{FF2B5EF4-FFF2-40B4-BE49-F238E27FC236}">
                  <a16:creationId xmlns:a16="http://schemas.microsoft.com/office/drawing/2014/main" id="{5283306F-3EA2-6CF3-99E4-0B2CF7F46DF9}"/>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15594461" y="34008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545487</xdr:colOff>
      <xdr:row>4</xdr:row>
      <xdr:rowOff>31532</xdr:rowOff>
    </xdr:from>
    <xdr:to>
      <xdr:col>31</xdr:col>
      <xdr:colOff>561252</xdr:colOff>
      <xdr:row>8</xdr:row>
      <xdr:rowOff>170794</xdr:rowOff>
    </xdr:to>
    <mc:AlternateContent xmlns:mc="http://schemas.openxmlformats.org/markup-compatibility/2006" xmlns:a14="http://schemas.microsoft.com/office/drawing/2010/main">
      <mc:Choice Requires="a14">
        <xdr:graphicFrame macro="">
          <xdr:nvGraphicFramePr>
            <xdr:cNvPr id="14" name="Money Type">
              <a:extLst>
                <a:ext uri="{FF2B5EF4-FFF2-40B4-BE49-F238E27FC236}">
                  <a16:creationId xmlns:a16="http://schemas.microsoft.com/office/drawing/2014/main" id="{C7A31272-AD00-C463-37AB-2192E7A00863}"/>
                </a:ext>
              </a:extLst>
            </xdr:cNvPr>
            <xdr:cNvGraphicFramePr/>
          </xdr:nvGraphicFramePr>
          <xdr:xfrm>
            <a:off x="0" y="0"/>
            <a:ext cx="0" cy="0"/>
          </xdr:xfrm>
          <a:graphic>
            <a:graphicData uri="http://schemas.microsoft.com/office/drawing/2010/slicer">
              <sle:slicer xmlns:sle="http://schemas.microsoft.com/office/drawing/2010/slicer" name="Money Type"/>
            </a:graphicData>
          </a:graphic>
        </xdr:graphicFrame>
      </mc:Choice>
      <mc:Fallback xmlns="">
        <xdr:sp macro="" textlink="">
          <xdr:nvSpPr>
            <xdr:cNvPr id="0" name=""/>
            <xdr:cNvSpPr>
              <a:spLocks noTextEdit="1"/>
            </xdr:cNvSpPr>
          </xdr:nvSpPr>
          <xdr:spPr>
            <a:xfrm>
              <a:off x="17467142" y="780394"/>
              <a:ext cx="1828800" cy="874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539443</xdr:colOff>
      <xdr:row>9</xdr:row>
      <xdr:rowOff>38618</xdr:rowOff>
    </xdr:from>
    <xdr:to>
      <xdr:col>31</xdr:col>
      <xdr:colOff>555208</xdr:colOff>
      <xdr:row>17</xdr:row>
      <xdr:rowOff>170793</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17510577-AE64-58C6-E097-6E98CDD1F6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461098" y="1707135"/>
              <a:ext cx="1828800" cy="1603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559676</xdr:colOff>
      <xdr:row>18</xdr:row>
      <xdr:rowOff>71990</xdr:rowOff>
    </xdr:from>
    <xdr:to>
      <xdr:col>31</xdr:col>
      <xdr:colOff>575441</xdr:colOff>
      <xdr:row>31</xdr:row>
      <xdr:rowOff>147862</xdr:rowOff>
    </xdr:to>
    <mc:AlternateContent xmlns:mc="http://schemas.openxmlformats.org/markup-compatibility/2006" xmlns:a14="http://schemas.microsoft.com/office/drawing/2010/main">
      <mc:Choice Requires="a14">
        <xdr:graphicFrame macro="">
          <xdr:nvGraphicFramePr>
            <xdr:cNvPr id="16" name="Hours (Time)">
              <a:extLst>
                <a:ext uri="{FF2B5EF4-FFF2-40B4-BE49-F238E27FC236}">
                  <a16:creationId xmlns:a16="http://schemas.microsoft.com/office/drawing/2014/main" id="{D6C429AC-CA76-36B2-8E28-9CC35DE464DF}"/>
                </a:ext>
              </a:extLst>
            </xdr:cNvPr>
            <xdr:cNvGraphicFramePr/>
          </xdr:nvGraphicFramePr>
          <xdr:xfrm>
            <a:off x="0" y="0"/>
            <a:ext cx="0" cy="0"/>
          </xdr:xfrm>
          <a:graphic>
            <a:graphicData uri="http://schemas.microsoft.com/office/drawing/2010/slicer">
              <sle:slicer xmlns:sle="http://schemas.microsoft.com/office/drawing/2010/slicer" name="Hours (Time)"/>
            </a:graphicData>
          </a:graphic>
        </xdr:graphicFrame>
      </mc:Choice>
      <mc:Fallback xmlns="">
        <xdr:sp macro="" textlink="">
          <xdr:nvSpPr>
            <xdr:cNvPr id="0" name=""/>
            <xdr:cNvSpPr>
              <a:spLocks noTextEdit="1"/>
            </xdr:cNvSpPr>
          </xdr:nvSpPr>
          <xdr:spPr>
            <a:xfrm>
              <a:off x="17481331" y="339588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498764</xdr:colOff>
      <xdr:row>32</xdr:row>
      <xdr:rowOff>55420</xdr:rowOff>
    </xdr:from>
    <xdr:to>
      <xdr:col>31</xdr:col>
      <xdr:colOff>595745</xdr:colOff>
      <xdr:row>53</xdr:row>
      <xdr:rowOff>13855</xdr:rowOff>
    </xdr:to>
    <xdr:graphicFrame macro="">
      <xdr:nvGraphicFramePr>
        <xdr:cNvPr id="5" name="Chart 4">
          <a:extLst>
            <a:ext uri="{FF2B5EF4-FFF2-40B4-BE49-F238E27FC236}">
              <a16:creationId xmlns:a16="http://schemas.microsoft.com/office/drawing/2014/main" id="{3891FE89-DFBB-493E-A140-B020B8156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09.501992129626" createdVersion="8" refreshedVersion="8" minRefreshableVersion="3" recordCount="100" xr:uid="{0BBB007E-D17F-4BBE-A571-09429B36BCF0}">
  <cacheSource type="worksheet">
    <worksheetSource name="Table1"/>
  </cacheSource>
  <cacheFields count="16">
    <cacheField name="Name" numFmtId="0">
      <sharedItems/>
    </cacheField>
    <cacheField name="Gender" numFmtId="0">
      <sharedItems count="2">
        <s v="Male"/>
        <s v="Female"/>
      </sharedItems>
    </cacheField>
    <cacheField name="Mob" numFmtId="1">
      <sharedItems containsMixedTypes="1" containsNumber="1" containsInteger="1" minValue="44902911" maxValue="9906960566"/>
    </cacheField>
    <cacheField name="Email" numFmtId="0">
      <sharedItems/>
    </cacheField>
    <cacheField name="Location" numFmtId="0">
      <sharedItems count="5">
        <s v="BTM"/>
        <s v="Kormangala"/>
        <s v="Maratthahalli"/>
        <s v="J.P Nagar"/>
        <s v="Not Available"/>
      </sharedItems>
    </cacheField>
    <cacheField name="P.ID" numFmtId="1">
      <sharedItems containsSemiMixedTypes="0" containsString="0" containsNumber="1" containsInteger="1" minValue="5" maxValue="988"/>
    </cacheField>
    <cacheField name="Prodcut Type" numFmtId="0">
      <sharedItems count="4">
        <s v="Chicken Pizza"/>
        <s v="Veggie Pizza"/>
        <s v="Spicy Panner Pizza"/>
        <s v="Margherita Pizza"/>
      </sharedItems>
    </cacheField>
    <cacheField name="Review" numFmtId="0">
      <sharedItems count="5">
        <s v="Good"/>
        <s v="Average"/>
        <s v="Bad"/>
        <s v="Not Available"/>
        <s v="Excellent"/>
      </sharedItems>
    </cacheField>
    <cacheField name="Money Type" numFmtId="0">
      <sharedItems count="2">
        <s v="Online "/>
        <s v="Cash"/>
      </sharedItems>
    </cacheField>
    <cacheField name="Price" numFmtId="166">
      <sharedItems containsSemiMixedTypes="0" containsString="0" containsNumber="1" containsInteger="1" minValue="120" maxValue="200"/>
    </cacheField>
    <cacheField name="Date of Order" numFmtId="169">
      <sharedItems containsSemiMixedTypes="0" containsNonDate="0" containsDate="1" containsString="0" minDate="2006-05-24T00:00:00" maxDate="2021-01-01T00:00:00"/>
    </cacheField>
    <cacheField name="Day" numFmtId="0">
      <sharedItems count="7">
        <s v="Wednesday"/>
        <s v="Monday"/>
        <s v="Saturday"/>
        <s v="Sunday"/>
        <s v="Thursday"/>
        <s v="Tuesday"/>
        <s v="Friday"/>
      </sharedItems>
    </cacheField>
    <cacheField name="Year" numFmtId="0">
      <sharedItems containsSemiMixedTypes="0" containsString="0" containsNumber="1" containsInteger="1" minValue="2006" maxValue="2020" count="4">
        <n v="2018"/>
        <n v="2019"/>
        <n v="2020"/>
        <n v="2006"/>
      </sharedItems>
    </cacheField>
    <cacheField name="Total amount" numFmtId="166">
      <sharedItems containsSemiMixedTypes="0" containsString="0" containsNumber="1" containsInteger="1" minValue="180" maxValue="1600"/>
    </cacheField>
    <cacheField name="Time" numFmtId="168">
      <sharedItems containsSemiMixedTypes="0" containsNonDate="0" containsDate="1" containsString="0" minDate="1899-12-30T11:00:00" maxDate="1899-12-30T20:00:00" count="95">
        <d v="1899-12-30T11:00:00"/>
        <d v="1899-12-30T11:05:00"/>
        <d v="1899-12-30T11:10:00"/>
        <d v="1899-12-30T12:05:00"/>
        <d v="1899-12-30T11:25:00"/>
        <d v="1899-12-30T11:30:00"/>
        <d v="1899-12-30T11:35:00"/>
        <d v="1899-12-30T11:40:00"/>
        <d v="1899-12-30T11:45:00"/>
        <d v="1899-12-30T11:50:00"/>
        <d v="1899-12-30T11:55:00"/>
        <d v="1899-12-30T12:00:00"/>
        <d v="1899-12-30T12:10:00"/>
        <d v="1899-12-30T12:25:00"/>
        <d v="1899-12-30T12:30:00"/>
        <d v="1899-12-30T12:35:00"/>
        <d v="1899-12-30T12:40:00"/>
        <d v="1899-12-30T12:45:00"/>
        <d v="1899-12-30T12:50:00"/>
        <d v="1899-12-30T12:55:00"/>
        <d v="1899-12-30T13:00:00"/>
        <d v="1899-12-30T13:05:00"/>
        <d v="1899-12-30T13:10:00"/>
        <d v="1899-12-30T13:15:00"/>
        <d v="1899-12-30T15:10:00"/>
        <d v="1899-12-30T15:15:00"/>
        <d v="1899-12-30T13:35:00"/>
        <d v="1899-12-30T13:40:00"/>
        <d v="1899-12-30T13:45:00"/>
        <d v="1899-12-30T13:50:00"/>
        <d v="1899-12-30T13:55:00"/>
        <d v="1899-12-30T14:00:00"/>
        <d v="1899-12-30T14:05:00"/>
        <d v="1899-12-30T14:10:00"/>
        <d v="1899-12-30T14:15:00"/>
        <d v="1899-12-30T14:20:00"/>
        <d v="1899-12-30T14:30:00"/>
        <d v="1899-12-30T14:35:00"/>
        <d v="1899-12-30T14:40:00"/>
        <d v="1899-12-30T14:45:00"/>
        <d v="1899-12-30T14:50:00"/>
        <d v="1899-12-30T14:55:00"/>
        <d v="1899-12-30T15:00:00"/>
        <d v="1899-12-30T15:05:00"/>
        <d v="1899-12-30T15:20:00"/>
        <d v="1899-12-30T15:25:00"/>
        <d v="1899-12-30T15:30:00"/>
        <d v="1899-12-30T15:35:00"/>
        <d v="1899-12-30T15:40:00"/>
        <d v="1899-12-30T15:45:00"/>
        <d v="1899-12-30T15:50:00"/>
        <d v="1899-12-30T15:55:00"/>
        <d v="1899-12-30T16:00:00"/>
        <d v="1899-12-30T16:05:00"/>
        <d v="1899-12-30T16:10:00"/>
        <d v="1899-12-30T16:15:00"/>
        <d v="1899-12-30T16:20:00"/>
        <d v="1899-12-30T16:25:00"/>
        <d v="1899-12-30T16:30:00"/>
        <d v="1899-12-30T16:40:00"/>
        <d v="1899-12-30T16:45:00"/>
        <d v="1899-12-30T16:50:00"/>
        <d v="1899-12-30T16:55:00"/>
        <d v="1899-12-30T17:00:00"/>
        <d v="1899-12-30T17:05:00"/>
        <d v="1899-12-30T17:10:00"/>
        <d v="1899-12-30T17:15:00"/>
        <d v="1899-12-30T17:20:00"/>
        <d v="1899-12-30T17:25:00"/>
        <d v="1899-12-30T17:30:00"/>
        <d v="1899-12-30T17:35:00"/>
        <d v="1899-12-30T17:40:00"/>
        <d v="1899-12-30T17:45:00"/>
        <d v="1899-12-30T17:50:00"/>
        <d v="1899-12-30T17:55:00"/>
        <d v="1899-12-30T18:00:00"/>
        <d v="1899-12-30T18:10:00"/>
        <d v="1899-12-30T18:15:00"/>
        <d v="1899-12-30T18:20:00"/>
        <d v="1899-12-30T18:25:00"/>
        <d v="1899-12-30T18:30:00"/>
        <d v="1899-12-30T18:35:00"/>
        <d v="1899-12-30T18:40:00"/>
        <d v="1899-12-30T18:55:00"/>
        <d v="1899-12-30T19:00:00"/>
        <d v="1899-12-30T19:05:00"/>
        <d v="1899-12-30T19:10:00"/>
        <d v="1899-12-30T19:15:00"/>
        <d v="1899-12-30T19:20:00"/>
        <d v="1899-12-30T19:30:00"/>
        <d v="1899-12-30T19:35:00"/>
        <d v="1899-12-30T19:45:00"/>
        <d v="1899-12-30T19:50:00"/>
        <d v="1899-12-30T19:55:00"/>
        <d v="1899-12-30T20:00:00"/>
      </sharedItems>
      <fieldGroup par="15"/>
    </cacheField>
    <cacheField name="Hours (Time)" numFmtId="0" databaseField="0">
      <fieldGroup base="14">
        <rangePr groupBy="hours" startDate="1899-12-30T11:00:00" endDate="1899-12-30T20:00:00"/>
        <groupItems count="26">
          <s v="&lt;00-01-1900"/>
          <s v="12 AM"/>
          <s v="1 AM"/>
          <s v="2 AM"/>
          <s v="3 AM"/>
          <s v="4 AM"/>
          <s v="5 AM"/>
          <s v="6 AM"/>
          <s v="7 AM"/>
          <s v="8 AM"/>
          <s v="9 AM"/>
          <s v="10 AM"/>
          <s v="11 AM"/>
          <s v="12 PM"/>
          <s v="1 PM"/>
          <s v="2 PM"/>
          <s v="3 PM"/>
          <s v="4 PM"/>
          <s v="5 PM"/>
          <s v="6 PM"/>
          <s v="7 PM"/>
          <s v="8 PM"/>
          <s v="9 PM"/>
          <s v="10 PM"/>
          <s v="11 PM"/>
          <s v="&gt;00-01-1900"/>
        </groupItems>
      </fieldGroup>
    </cacheField>
  </cacheFields>
  <extLst>
    <ext xmlns:x14="http://schemas.microsoft.com/office/spreadsheetml/2009/9/main" uri="{725AE2AE-9491-48be-B2B4-4EB974FC3084}">
      <x14:pivotCacheDefinition pivotCacheId="7453514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309.848578703706" backgroundQuery="1" createdVersion="8" refreshedVersion="8" minRefreshableVersion="3" recordCount="0" supportSubquery="1" supportAdvancedDrill="1" xr:uid="{5A2BA188-6DD3-4C87-9759-87074648A30F}">
  <cacheSource type="external" connectionId="1"/>
  <cacheFields count="2">
    <cacheField name="[Table4].[Money_type].[Money_type]" caption="Money_type" numFmtId="0" hierarchy="2" level="1">
      <sharedItems count="2">
        <s v="Cash"/>
        <s v="Online"/>
      </sharedItems>
    </cacheField>
    <cacheField name="[Measures].[Sum of Total_count]" caption="Sum of Total_count" numFmtId="0" hierarchy="11" level="32767"/>
  </cacheFields>
  <cacheHierarchies count="13">
    <cacheHierarchy uniqueName="[Table2].[Gender]" caption="Gender" attribute="1" defaultMemberUniqueName="[Table2].[Gender].[All]" allUniqueName="[Table2].[Gender].[All]" dimensionUniqueName="[Table2]" displayFolder="" count="2" memberValueDatatype="130" unbalanced="0"/>
    <cacheHierarchy uniqueName="[Table2].[Total]" caption="Total" attribute="1" defaultMemberUniqueName="[Table2].[Total].[All]" allUniqueName="[Table2].[Total].[All]" dimensionUniqueName="[Table2]" displayFolder="" count="2" memberValueDatatype="20" unbalanced="0"/>
    <cacheHierarchy uniqueName="[Table4].[Money_type]" caption="Money_type" attribute="1" defaultMemberUniqueName="[Table4].[Money_type].[All]" allUniqueName="[Table4].[Money_type].[All]" dimensionUniqueName="[Table4]" displayFolder="" count="2" memberValueDatatype="130" unbalanced="0">
      <fieldsUsage count="2">
        <fieldUsage x="-1"/>
        <fieldUsage x="0"/>
      </fieldsUsage>
    </cacheHierarchy>
    <cacheHierarchy uniqueName="[Table4].[Total_count]" caption="Total_count" attribute="1" defaultMemberUniqueName="[Table4].[Total_count].[All]" allUniqueName="[Table4].[Total_count].[All]" dimensionUniqueName="[Table4]" displayFolder="" count="2" memberValueDatatype="20" unbalanced="0"/>
    <cacheHierarchy uniqueName="[Table5].[location]" caption="location" attribute="1" defaultMemberUniqueName="[Table5].[location].[All]" allUniqueName="[Table5].[location].[All]" dimensionUniqueName="[Table5]" displayFolder="" count="2" memberValueDatatype="130" unbalanced="0"/>
    <cacheHierarchy uniqueName="[Table5].[order_count]" caption="order_count" attribute="1" defaultMemberUniqueName="[Table5].[order_count].[All]" allUniqueName="[Table5].[order_count].[All]" dimensionUniqueName="[Table5]" displayFolder="" count="2" memberValueDatatype="20" unbalanced="0"/>
    <cacheHierarchy uniqueName="[Measures].[__XL_Count Table2]" caption="__XL_Count Table2" measure="1" displayFolder="" measureGroup="Table2"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caption="Sum of Total" measure="1" displayFolder="" measureGroup="Table2" count="0" hidden="1">
      <extLst>
        <ext xmlns:x15="http://schemas.microsoft.com/office/spreadsheetml/2010/11/main" uri="{B97F6D7D-B522-45F9-BDA1-12C45D357490}">
          <x15:cacheHierarchy aggregatedColumn="1"/>
        </ext>
      </extLst>
    </cacheHierarchy>
    <cacheHierarchy uniqueName="[Measures].[Sum of Total_count]" caption="Sum of Total_count" measure="1" displayFolder="" measureGroup="Table4"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Total_count]" caption="Count of Total_count" measure="1" displayFolder="" measureGroup="Table4" count="0" hidden="1">
      <extLst>
        <ext xmlns:x15="http://schemas.microsoft.com/office/spreadsheetml/2010/11/main" uri="{B97F6D7D-B522-45F9-BDA1-12C45D357490}">
          <x15:cacheHierarchy aggregatedColumn="3"/>
        </ext>
      </extLst>
    </cacheHierarchy>
  </cacheHierarchies>
  <kpis count="0"/>
  <dimensions count="4">
    <dimension measure="1" name="Measures" uniqueName="[Measures]" caption="Measures"/>
    <dimension name="Table2" uniqueName="[Table2]" caption="Table2"/>
    <dimension name="Table4" uniqueName="[Table4]" caption="Table4"/>
    <dimension name="Table5" uniqueName="[Table5]" caption="Table5"/>
  </dimensions>
  <measureGroups count="3">
    <measureGroup name="Table2" caption="Table2"/>
    <measureGroup name="Table4" caption="Table4"/>
    <measureGroup name="Table5" caption="Table5"/>
  </measureGroups>
  <maps count="4">
    <map measureGroup="0" dimension="1"/>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Raj Sharma"/>
    <x v="0"/>
    <n v="9906960566"/>
    <s v="Raj@gmail.com"/>
    <x v="0"/>
    <n v="753"/>
    <x v="0"/>
    <x v="0"/>
    <x v="0"/>
    <n v="200"/>
    <d v="2018-12-05T00:00:00"/>
    <x v="0"/>
    <x v="0"/>
    <n v="700"/>
    <x v="0"/>
  </r>
  <r>
    <s v="Sharad Gandhi"/>
    <x v="1"/>
    <n v="5900874374"/>
    <s v="Sharad@rediffmail.com"/>
    <x v="0"/>
    <n v="109"/>
    <x v="1"/>
    <x v="1"/>
    <x v="1"/>
    <n v="150"/>
    <d v="2018-06-18T00:00:00"/>
    <x v="1"/>
    <x v="0"/>
    <n v="600"/>
    <x v="1"/>
  </r>
  <r>
    <s v="Danish D'Souza"/>
    <x v="0"/>
    <n v="453601168"/>
    <s v="Danish@gmail.com"/>
    <x v="1"/>
    <n v="124"/>
    <x v="2"/>
    <x v="2"/>
    <x v="1"/>
    <n v="140"/>
    <d v="2018-02-03T00:00:00"/>
    <x v="2"/>
    <x v="0"/>
    <n v="600"/>
    <x v="2"/>
  </r>
  <r>
    <s v="Deepthi Kelley"/>
    <x v="1"/>
    <n v="1032274597"/>
    <s v="Deepthi@rediffmail.com"/>
    <x v="2"/>
    <n v="161"/>
    <x v="2"/>
    <x v="2"/>
    <x v="1"/>
    <n v="140"/>
    <d v="2018-05-13T00:00:00"/>
    <x v="3"/>
    <x v="0"/>
    <n v="267"/>
    <x v="3"/>
  </r>
  <r>
    <s v="Rijo Paul"/>
    <x v="0"/>
    <n v="1664438923"/>
    <s v="Rijo@gmail.com"/>
    <x v="0"/>
    <n v="533"/>
    <x v="0"/>
    <x v="3"/>
    <x v="0"/>
    <n v="200"/>
    <d v="2018-03-11T00:00:00"/>
    <x v="3"/>
    <x v="0"/>
    <n v="400"/>
    <x v="4"/>
  </r>
  <r>
    <s v="Joseph P"/>
    <x v="0"/>
    <s v="Not Available"/>
    <s v="Joseph@yahoo.com"/>
    <x v="3"/>
    <n v="773"/>
    <x v="1"/>
    <x v="4"/>
    <x v="0"/>
    <n v="150"/>
    <d v="2018-03-29T00:00:00"/>
    <x v="4"/>
    <x v="0"/>
    <n v="387"/>
    <x v="5"/>
  </r>
  <r>
    <s v="Aakash Patel"/>
    <x v="0"/>
    <n v="867038371"/>
    <s v="Aakash@gmail.com"/>
    <x v="0"/>
    <n v="135"/>
    <x v="2"/>
    <x v="4"/>
    <x v="0"/>
    <n v="140"/>
    <d v="2018-03-17T00:00:00"/>
    <x v="2"/>
    <x v="0"/>
    <n v="400"/>
    <x v="6"/>
  </r>
  <r>
    <s v="Ganesh Rahu"/>
    <x v="0"/>
    <n v="673760051"/>
    <s v="Ganesh@g.com"/>
    <x v="4"/>
    <n v="829"/>
    <x v="3"/>
    <x v="4"/>
    <x v="1"/>
    <n v="120"/>
    <d v="2018-02-05T00:00:00"/>
    <x v="1"/>
    <x v="0"/>
    <n v="181"/>
    <x v="7"/>
  </r>
  <r>
    <s v="Vinudas K.S"/>
    <x v="0"/>
    <n v="9671602033"/>
    <s v="Vinudas@rediffmail.com"/>
    <x v="3"/>
    <n v="370"/>
    <x v="1"/>
    <x v="3"/>
    <x v="0"/>
    <n v="150"/>
    <d v="2018-03-29T00:00:00"/>
    <x v="4"/>
    <x v="0"/>
    <n v="500"/>
    <x v="8"/>
  </r>
  <r>
    <s v="Divya Kumar"/>
    <x v="1"/>
    <n v="777063935"/>
    <s v="Divya@gmail.com"/>
    <x v="2"/>
    <n v="885"/>
    <x v="2"/>
    <x v="0"/>
    <x v="0"/>
    <n v="140"/>
    <d v="2018-07-17T00:00:00"/>
    <x v="5"/>
    <x v="0"/>
    <n v="1600"/>
    <x v="9"/>
  </r>
  <r>
    <s v="Shilpa R"/>
    <x v="1"/>
    <n v="9446055414"/>
    <s v="Shilpa@rediffmail.com"/>
    <x v="1"/>
    <n v="480"/>
    <x v="0"/>
    <x v="1"/>
    <x v="0"/>
    <n v="200"/>
    <d v="2018-12-12T00:00:00"/>
    <x v="0"/>
    <x v="0"/>
    <n v="500"/>
    <x v="10"/>
  </r>
  <r>
    <s v="Sindhu J.P"/>
    <x v="1"/>
    <n v="6579979894"/>
    <s v="Sindhu@rediffmail.com"/>
    <x v="0"/>
    <n v="942"/>
    <x v="1"/>
    <x v="2"/>
    <x v="1"/>
    <n v="150"/>
    <d v="2018-11-09T00:00:00"/>
    <x v="6"/>
    <x v="0"/>
    <n v="600"/>
    <x v="11"/>
  </r>
  <r>
    <s v="Deepthi Kelley"/>
    <x v="1"/>
    <n v="1032274597"/>
    <s v="Deepthi@rediffmail.com"/>
    <x v="2"/>
    <n v="161"/>
    <x v="2"/>
    <x v="2"/>
    <x v="1"/>
    <n v="140"/>
    <d v="2018-05-13T00:00:00"/>
    <x v="3"/>
    <x v="0"/>
    <n v="267"/>
    <x v="3"/>
  </r>
  <r>
    <s v="Lijin k c"/>
    <x v="1"/>
    <n v="7381285565"/>
    <s v="Lijin@gmail.com"/>
    <x v="0"/>
    <n v="486"/>
    <x v="3"/>
    <x v="1"/>
    <x v="0"/>
    <n v="120"/>
    <d v="2018-10-06T00:00:00"/>
    <x v="2"/>
    <x v="0"/>
    <n v="800"/>
    <x v="12"/>
  </r>
  <r>
    <s v="Sayad Kelley"/>
    <x v="0"/>
    <n v="7034071342"/>
    <s v="Sayad@rediffmail.com"/>
    <x v="1"/>
    <n v="515"/>
    <x v="0"/>
    <x v="1"/>
    <x v="0"/>
    <n v="200"/>
    <d v="2018-09-07T00:00:00"/>
    <x v="6"/>
    <x v="0"/>
    <n v="500"/>
    <x v="13"/>
  </r>
  <r>
    <s v="Ajil k Mohanan"/>
    <x v="0"/>
    <s v="Not Available"/>
    <s v="Ajil@rediffmail.com"/>
    <x v="0"/>
    <n v="295"/>
    <x v="1"/>
    <x v="4"/>
    <x v="0"/>
    <n v="150"/>
    <d v="2018-07-08T00:00:00"/>
    <x v="3"/>
    <x v="0"/>
    <n v="700"/>
    <x v="14"/>
  </r>
  <r>
    <s v="Edison ML"/>
    <x v="0"/>
    <n v="9716982309"/>
    <s v="Edison@y.com"/>
    <x v="2"/>
    <n v="200"/>
    <x v="0"/>
    <x v="4"/>
    <x v="0"/>
    <n v="200"/>
    <d v="2018-03-02T00:00:00"/>
    <x v="6"/>
    <x v="0"/>
    <n v="1600"/>
    <x v="15"/>
  </r>
  <r>
    <s v="Basil P E"/>
    <x v="0"/>
    <n v="7722885079"/>
    <s v="Basil@yahoo.com"/>
    <x v="1"/>
    <n v="326"/>
    <x v="3"/>
    <x v="3"/>
    <x v="1"/>
    <n v="120"/>
    <d v="2018-05-14T00:00:00"/>
    <x v="1"/>
    <x v="0"/>
    <n v="1600"/>
    <x v="16"/>
  </r>
  <r>
    <s v="Jobin George"/>
    <x v="0"/>
    <n v="3708983713"/>
    <s v="Jobin@gmail.com"/>
    <x v="0"/>
    <n v="482"/>
    <x v="2"/>
    <x v="0"/>
    <x v="1"/>
    <n v="140"/>
    <d v="2018-03-26T00:00:00"/>
    <x v="1"/>
    <x v="0"/>
    <n v="1000"/>
    <x v="17"/>
  </r>
  <r>
    <s v="Jismon Sharma"/>
    <x v="0"/>
    <n v="1369353147"/>
    <s v="Jismon@y.com"/>
    <x v="2"/>
    <n v="503"/>
    <x v="0"/>
    <x v="4"/>
    <x v="0"/>
    <n v="200"/>
    <d v="2018-08-06T00:00:00"/>
    <x v="1"/>
    <x v="0"/>
    <n v="1600"/>
    <x v="18"/>
  </r>
  <r>
    <s v="Sharafali P"/>
    <x v="1"/>
    <n v="1985722057"/>
    <s v="Sharafali@gmail.com"/>
    <x v="3"/>
    <n v="779"/>
    <x v="1"/>
    <x v="1"/>
    <x v="0"/>
    <n v="150"/>
    <d v="2018-06-16T00:00:00"/>
    <x v="2"/>
    <x v="0"/>
    <n v="1100"/>
    <x v="19"/>
  </r>
  <r>
    <s v="Jackie Bates"/>
    <x v="0"/>
    <n v="7761526376"/>
    <s v="Jackie@g.com"/>
    <x v="0"/>
    <n v="965"/>
    <x v="2"/>
    <x v="2"/>
    <x v="0"/>
    <n v="140"/>
    <d v="2018-02-27T00:00:00"/>
    <x v="5"/>
    <x v="0"/>
    <n v="1600"/>
    <x v="20"/>
  </r>
  <r>
    <s v="Duane Sharma"/>
    <x v="1"/>
    <s v="Not Available"/>
    <s v="Duane@rediffmail.com"/>
    <x v="2"/>
    <n v="396"/>
    <x v="3"/>
    <x v="0"/>
    <x v="1"/>
    <n v="120"/>
    <d v="2018-08-10T00:00:00"/>
    <x v="6"/>
    <x v="0"/>
    <n v="1600"/>
    <x v="21"/>
  </r>
  <r>
    <s v="Domingo Rose"/>
    <x v="1"/>
    <n v="4840789619"/>
    <s v="Domingo@gmail.com"/>
    <x v="1"/>
    <n v="672"/>
    <x v="0"/>
    <x v="3"/>
    <x v="0"/>
    <n v="200"/>
    <d v="2018-03-30T00:00:00"/>
    <x v="6"/>
    <x v="0"/>
    <n v="1000"/>
    <x v="22"/>
  </r>
  <r>
    <s v="Lula Kelly"/>
    <x v="1"/>
    <n v="5568969570"/>
    <s v="Lula@g.com"/>
    <x v="2"/>
    <n v="281"/>
    <x v="2"/>
    <x v="0"/>
    <x v="1"/>
    <n v="140"/>
    <d v="2018-07-19T00:00:00"/>
    <x v="4"/>
    <x v="0"/>
    <n v="1600"/>
    <x v="23"/>
  </r>
  <r>
    <s v="Andrew Ballard"/>
    <x v="0"/>
    <n v="7280083086"/>
    <s v="Andrew@g.com"/>
    <x v="2"/>
    <n v="150"/>
    <x v="2"/>
    <x v="2"/>
    <x v="0"/>
    <n v="140"/>
    <d v="2019-10-01T00:00:00"/>
    <x v="5"/>
    <x v="1"/>
    <n v="1600"/>
    <x v="24"/>
  </r>
  <r>
    <s v="Lester Wilkins"/>
    <x v="1"/>
    <n v="1491564415"/>
    <s v="Lester@rediffmail.com"/>
    <x v="1"/>
    <n v="935"/>
    <x v="3"/>
    <x v="1"/>
    <x v="1"/>
    <n v="120"/>
    <d v="2019-07-04T00:00:00"/>
    <x v="4"/>
    <x v="1"/>
    <n v="1100"/>
    <x v="25"/>
  </r>
  <r>
    <s v="David Sharma"/>
    <x v="0"/>
    <s v="Not Available"/>
    <s v="David@gmail.com"/>
    <x v="1"/>
    <n v="186"/>
    <x v="0"/>
    <x v="4"/>
    <x v="0"/>
    <n v="200"/>
    <d v="2018-12-21T00:00:00"/>
    <x v="6"/>
    <x v="0"/>
    <n v="600"/>
    <x v="26"/>
  </r>
  <r>
    <s v="Isabel Evans"/>
    <x v="1"/>
    <n v="5705396215"/>
    <s v="Isabel@rediffmail.com"/>
    <x v="0"/>
    <n v="799"/>
    <x v="1"/>
    <x v="4"/>
    <x v="1"/>
    <n v="150"/>
    <d v="2018-06-05T00:00:00"/>
    <x v="5"/>
    <x v="0"/>
    <n v="600"/>
    <x v="27"/>
  </r>
  <r>
    <s v="Ivan Ray"/>
    <x v="0"/>
    <n v="6868577122"/>
    <s v="Ivan@rediffmail.com"/>
    <x v="0"/>
    <n v="865"/>
    <x v="2"/>
    <x v="0"/>
    <x v="0"/>
    <n v="140"/>
    <d v="2018-02-20T00:00:00"/>
    <x v="5"/>
    <x v="0"/>
    <n v="700"/>
    <x v="28"/>
  </r>
  <r>
    <s v="Hubert Moran"/>
    <x v="0"/>
    <n v="2850723051"/>
    <s v="Hubert@y.com"/>
    <x v="2"/>
    <n v="469"/>
    <x v="3"/>
    <x v="4"/>
    <x v="1"/>
    <n v="120"/>
    <d v="2018-03-07T00:00:00"/>
    <x v="0"/>
    <x v="0"/>
    <n v="400"/>
    <x v="29"/>
  </r>
  <r>
    <s v="Jim Robbins"/>
    <x v="0"/>
    <n v="5064106912"/>
    <s v="Jim@yahoo.com"/>
    <x v="1"/>
    <n v="607"/>
    <x v="1"/>
    <x v="1"/>
    <x v="1"/>
    <n v="150"/>
    <d v="2018-04-07T00:00:00"/>
    <x v="2"/>
    <x v="0"/>
    <n v="370"/>
    <x v="30"/>
  </r>
  <r>
    <s v="Catherine Rice"/>
    <x v="1"/>
    <n v="3227769230"/>
    <s v="Catherine@gmail.com"/>
    <x v="2"/>
    <n v="950"/>
    <x v="2"/>
    <x v="4"/>
    <x v="0"/>
    <n v="140"/>
    <d v="2019-10-18T00:00:00"/>
    <x v="6"/>
    <x v="1"/>
    <n v="400"/>
    <x v="31"/>
  </r>
  <r>
    <s v="Kevin Nash"/>
    <x v="0"/>
    <n v="4489137965"/>
    <s v="Kevin@y.com"/>
    <x v="0"/>
    <n v="353"/>
    <x v="0"/>
    <x v="2"/>
    <x v="0"/>
    <n v="200"/>
    <d v="2019-01-25T00:00:00"/>
    <x v="6"/>
    <x v="1"/>
    <n v="180"/>
    <x v="32"/>
  </r>
  <r>
    <s v="Sonya Peterson"/>
    <x v="1"/>
    <n v="1442788630"/>
    <s v="Sonya@rediffmail.com"/>
    <x v="2"/>
    <n v="651"/>
    <x v="1"/>
    <x v="1"/>
    <x v="0"/>
    <n v="150"/>
    <d v="2019-07-07T00:00:00"/>
    <x v="3"/>
    <x v="1"/>
    <n v="500"/>
    <x v="33"/>
  </r>
  <r>
    <s v="Wallace Parks"/>
    <x v="0"/>
    <n v="6660155844"/>
    <s v="Wallace@y.com"/>
    <x v="1"/>
    <n v="486"/>
    <x v="3"/>
    <x v="0"/>
    <x v="0"/>
    <n v="120"/>
    <d v="2019-06-05T00:00:00"/>
    <x v="0"/>
    <x v="1"/>
    <n v="1600"/>
    <x v="34"/>
  </r>
  <r>
    <s v="Katherine Bush"/>
    <x v="1"/>
    <n v="3847031717"/>
    <s v="Katherine@g.com"/>
    <x v="2"/>
    <n v="226"/>
    <x v="0"/>
    <x v="4"/>
    <x v="1"/>
    <n v="200"/>
    <d v="2019-01-17T00:00:00"/>
    <x v="4"/>
    <x v="1"/>
    <n v="500"/>
    <x v="35"/>
  </r>
  <r>
    <s v="Terri Adkins"/>
    <x v="1"/>
    <n v="7230743292"/>
    <s v="Terri@rediffmail.com"/>
    <x v="4"/>
    <n v="195"/>
    <x v="1"/>
    <x v="4"/>
    <x v="1"/>
    <n v="150"/>
    <d v="2019-01-02T00:00:00"/>
    <x v="0"/>
    <x v="1"/>
    <n v="600"/>
    <x v="36"/>
  </r>
  <r>
    <s v="Estelle Kelley"/>
    <x v="1"/>
    <n v="2674814446"/>
    <s v="Estelle@g.com"/>
    <x v="3"/>
    <n v="429"/>
    <x v="2"/>
    <x v="0"/>
    <x v="0"/>
    <n v="140"/>
    <d v="2019-11-26T00:00:00"/>
    <x v="5"/>
    <x v="1"/>
    <n v="270"/>
    <x v="37"/>
  </r>
  <r>
    <s v="Amy Sharma"/>
    <x v="1"/>
    <n v="3617529102"/>
    <s v="Amy@rediffmail.com"/>
    <x v="2"/>
    <n v="299"/>
    <x v="3"/>
    <x v="1"/>
    <x v="1"/>
    <n v="120"/>
    <d v="2019-02-11T00:00:00"/>
    <x v="1"/>
    <x v="1"/>
    <n v="800"/>
    <x v="38"/>
  </r>
  <r>
    <s v="Ron Luna"/>
    <x v="1"/>
    <n v="9811710783"/>
    <s v="Ron@rediffmail.com"/>
    <x v="1"/>
    <n v="218"/>
    <x v="1"/>
    <x v="4"/>
    <x v="0"/>
    <n v="150"/>
    <d v="2019-04-15T00:00:00"/>
    <x v="1"/>
    <x v="1"/>
    <n v="500"/>
    <x v="39"/>
  </r>
  <r>
    <s v="Kristen Morales"/>
    <x v="1"/>
    <n v="1484055936"/>
    <s v="Kristen@y.com"/>
    <x v="0"/>
    <n v="5"/>
    <x v="3"/>
    <x v="0"/>
    <x v="0"/>
    <n v="120"/>
    <d v="2019-03-19T00:00:00"/>
    <x v="5"/>
    <x v="1"/>
    <n v="700"/>
    <x v="40"/>
  </r>
  <r>
    <s v="Daniel Conner"/>
    <x v="0"/>
    <n v="1818430323"/>
    <s v="Daniel@y.com"/>
    <x v="2"/>
    <n v="64"/>
    <x v="2"/>
    <x v="1"/>
    <x v="0"/>
    <n v="140"/>
    <d v="2019-04-24T00:00:00"/>
    <x v="0"/>
    <x v="1"/>
    <n v="1600"/>
    <x v="41"/>
  </r>
  <r>
    <s v="Clay Meyer"/>
    <x v="0"/>
    <n v="2753885103"/>
    <s v="Clay@yahoo.com"/>
    <x v="0"/>
    <n v="294"/>
    <x v="0"/>
    <x v="0"/>
    <x v="1"/>
    <n v="200"/>
    <d v="2019-07-10T00:00:00"/>
    <x v="0"/>
    <x v="1"/>
    <n v="1600"/>
    <x v="42"/>
  </r>
  <r>
    <s v="Horace Patel"/>
    <x v="1"/>
    <n v="3430744725"/>
    <s v="Horace@y.com"/>
    <x v="3"/>
    <n v="616"/>
    <x v="1"/>
    <x v="4"/>
    <x v="1"/>
    <n v="150"/>
    <d v="2019-09-23T00:00:00"/>
    <x v="1"/>
    <x v="1"/>
    <n v="1000"/>
    <x v="43"/>
  </r>
  <r>
    <s v="Andrew Ballard"/>
    <x v="0"/>
    <n v="7280083086"/>
    <s v="Andrew@g.com"/>
    <x v="2"/>
    <n v="150"/>
    <x v="2"/>
    <x v="2"/>
    <x v="0"/>
    <n v="140"/>
    <d v="2019-10-01T00:00:00"/>
    <x v="5"/>
    <x v="1"/>
    <n v="1600"/>
    <x v="24"/>
  </r>
  <r>
    <s v="Lester Wilkins"/>
    <x v="1"/>
    <n v="1491564415"/>
    <s v="Lester@rediffmail.com"/>
    <x v="1"/>
    <n v="935"/>
    <x v="3"/>
    <x v="1"/>
    <x v="1"/>
    <n v="120"/>
    <d v="2019-07-04T00:00:00"/>
    <x v="4"/>
    <x v="1"/>
    <n v="1100"/>
    <x v="25"/>
  </r>
  <r>
    <s v="Doyle Sullivan"/>
    <x v="0"/>
    <n v="2975727463"/>
    <s v="Doyle@g.com"/>
    <x v="0"/>
    <n v="725"/>
    <x v="1"/>
    <x v="4"/>
    <x v="0"/>
    <n v="150"/>
    <d v="2019-05-22T00:00:00"/>
    <x v="0"/>
    <x v="1"/>
    <n v="700"/>
    <x v="44"/>
  </r>
  <r>
    <s v="Carroll Gilbert"/>
    <x v="1"/>
    <n v="6230180832"/>
    <s v="Carroll@yahoo.com"/>
    <x v="0"/>
    <n v="420"/>
    <x v="3"/>
    <x v="0"/>
    <x v="0"/>
    <n v="120"/>
    <d v="2019-04-23T00:00:00"/>
    <x v="5"/>
    <x v="1"/>
    <n v="600"/>
    <x v="45"/>
  </r>
  <r>
    <s v="Randy Walton"/>
    <x v="0"/>
    <n v="2654741588"/>
    <s v="Randy@rediffmail.com"/>
    <x v="1"/>
    <n v="977"/>
    <x v="0"/>
    <x v="1"/>
    <x v="0"/>
    <n v="200"/>
    <d v="2019-05-04T00:00:00"/>
    <x v="2"/>
    <x v="1"/>
    <n v="600"/>
    <x v="46"/>
  </r>
  <r>
    <s v="Abraham Sharma"/>
    <x v="0"/>
    <n v="5403352518"/>
    <s v="Abraham@g.com"/>
    <x v="2"/>
    <n v="756"/>
    <x v="0"/>
    <x v="2"/>
    <x v="1"/>
    <n v="200"/>
    <d v="2019-02-03T00:00:00"/>
    <x v="3"/>
    <x v="1"/>
    <n v="700"/>
    <x v="47"/>
  </r>
  <r>
    <s v="Harriet Kelley"/>
    <x v="1"/>
    <n v="4120111920"/>
    <s v="Harriet@g.com"/>
    <x v="2"/>
    <n v="336"/>
    <x v="0"/>
    <x v="0"/>
    <x v="0"/>
    <n v="200"/>
    <d v="2019-04-19T00:00:00"/>
    <x v="6"/>
    <x v="1"/>
    <n v="400"/>
    <x v="48"/>
  </r>
  <r>
    <s v="Patty Price"/>
    <x v="1"/>
    <n v="6546090759"/>
    <s v="Patty@g.com"/>
    <x v="2"/>
    <n v="568"/>
    <x v="2"/>
    <x v="1"/>
    <x v="0"/>
    <n v="140"/>
    <d v="2019-10-30T00:00:00"/>
    <x v="0"/>
    <x v="1"/>
    <n v="370"/>
    <x v="49"/>
  </r>
  <r>
    <s v="Bradford Garrett"/>
    <x v="0"/>
    <s v="Not Available"/>
    <s v="Bradford@gmail.com"/>
    <x v="2"/>
    <n v="445"/>
    <x v="0"/>
    <x v="4"/>
    <x v="0"/>
    <n v="200"/>
    <d v="2019-02-18T00:00:00"/>
    <x v="1"/>
    <x v="1"/>
    <n v="400"/>
    <x v="50"/>
  </r>
  <r>
    <s v="Morris Diaz"/>
    <x v="1"/>
    <n v="4026015466"/>
    <s v="Morris@g.com"/>
    <x v="4"/>
    <n v="184"/>
    <x v="1"/>
    <x v="0"/>
    <x v="0"/>
    <n v="150"/>
    <d v="2019-12-12T00:00:00"/>
    <x v="4"/>
    <x v="1"/>
    <n v="180"/>
    <x v="51"/>
  </r>
  <r>
    <s v="Gerard Sharma"/>
    <x v="0"/>
    <n v="8436835499"/>
    <s v="Gerard@yahoo.com"/>
    <x v="0"/>
    <n v="647"/>
    <x v="2"/>
    <x v="3"/>
    <x v="1"/>
    <n v="140"/>
    <d v="2019-05-21T00:00:00"/>
    <x v="5"/>
    <x v="1"/>
    <n v="500"/>
    <x v="52"/>
  </r>
  <r>
    <s v="Wilfred Malone"/>
    <x v="1"/>
    <n v="6341451283"/>
    <s v="Wilfred@rediffmail.com"/>
    <x v="2"/>
    <n v="480"/>
    <x v="3"/>
    <x v="3"/>
    <x v="1"/>
    <n v="120"/>
    <d v="2019-10-09T00:00:00"/>
    <x v="0"/>
    <x v="1"/>
    <n v="1600"/>
    <x v="53"/>
  </r>
  <r>
    <s v="Travis Rios"/>
    <x v="0"/>
    <n v="4975372521"/>
    <s v="Travis@rediffmail.com"/>
    <x v="2"/>
    <n v="22"/>
    <x v="1"/>
    <x v="0"/>
    <x v="1"/>
    <n v="150"/>
    <d v="2019-04-18T00:00:00"/>
    <x v="4"/>
    <x v="1"/>
    <n v="500"/>
    <x v="54"/>
  </r>
  <r>
    <s v="William Patel"/>
    <x v="0"/>
    <n v="8011161364"/>
    <s v="William@rediffmail.com"/>
    <x v="1"/>
    <n v="418"/>
    <x v="1"/>
    <x v="1"/>
    <x v="0"/>
    <n v="120"/>
    <d v="2019-05-13T00:00:00"/>
    <x v="1"/>
    <x v="1"/>
    <n v="600"/>
    <x v="55"/>
  </r>
  <r>
    <s v="Arthur Dean"/>
    <x v="0"/>
    <n v="9022585743"/>
    <s v="Arthur@g.com"/>
    <x v="0"/>
    <n v="247"/>
    <x v="3"/>
    <x v="2"/>
    <x v="1"/>
    <n v="120"/>
    <d v="2019-03-23T00:00:00"/>
    <x v="2"/>
    <x v="1"/>
    <n v="270"/>
    <x v="56"/>
  </r>
  <r>
    <s v="Angel Wade"/>
    <x v="1"/>
    <n v="7167092174"/>
    <s v="Angel@gmail.com"/>
    <x v="2"/>
    <n v="872"/>
    <x v="1"/>
    <x v="0"/>
    <x v="0"/>
    <n v="150"/>
    <d v="2019-10-30T00:00:00"/>
    <x v="0"/>
    <x v="1"/>
    <n v="800"/>
    <x v="57"/>
  </r>
  <r>
    <s v="Kirk Ross"/>
    <x v="1"/>
    <s v="Not Available"/>
    <s v="Kirk@y.com"/>
    <x v="3"/>
    <n v="129"/>
    <x v="1"/>
    <x v="1"/>
    <x v="0"/>
    <n v="150"/>
    <d v="2019-05-16T00:00:00"/>
    <x v="4"/>
    <x v="1"/>
    <n v="500"/>
    <x v="58"/>
  </r>
  <r>
    <s v="Georgia Summers"/>
    <x v="1"/>
    <n v="6314589112"/>
    <s v="Georgia@yahoo.com"/>
    <x v="2"/>
    <n v="798"/>
    <x v="1"/>
    <x v="2"/>
    <x v="0"/>
    <n v="150"/>
    <d v="2019-10-19T00:00:00"/>
    <x v="2"/>
    <x v="1"/>
    <n v="700"/>
    <x v="59"/>
  </r>
  <r>
    <s v="Ian Knight"/>
    <x v="0"/>
    <n v="44902911"/>
    <s v="Ian@y.com"/>
    <x v="0"/>
    <n v="14"/>
    <x v="3"/>
    <x v="0"/>
    <x v="0"/>
    <n v="120"/>
    <d v="2019-09-07T00:00:00"/>
    <x v="2"/>
    <x v="1"/>
    <n v="1600"/>
    <x v="60"/>
  </r>
  <r>
    <s v="Jonathon Nichols"/>
    <x v="0"/>
    <n v="961674446"/>
    <s v="Jonathon@rediffmail.com"/>
    <x v="1"/>
    <n v="462"/>
    <x v="0"/>
    <x v="4"/>
    <x v="1"/>
    <n v="200"/>
    <d v="2019-12-17T00:00:00"/>
    <x v="5"/>
    <x v="1"/>
    <n v="1600"/>
    <x v="61"/>
  </r>
  <r>
    <s v="Margarita Martin"/>
    <x v="1"/>
    <n v="3276125790"/>
    <s v="Margarita@rediffmail.com"/>
    <x v="0"/>
    <n v="952"/>
    <x v="1"/>
    <x v="0"/>
    <x v="0"/>
    <n v="150"/>
    <d v="2019-05-01T00:00:00"/>
    <x v="0"/>
    <x v="1"/>
    <n v="1000"/>
    <x v="62"/>
  </r>
  <r>
    <s v="Jeremy Jensen"/>
    <x v="0"/>
    <n v="9807488372"/>
    <s v="Jeremy@g.com"/>
    <x v="2"/>
    <n v="341"/>
    <x v="2"/>
    <x v="3"/>
    <x v="1"/>
    <n v="140"/>
    <d v="2019-04-13T00:00:00"/>
    <x v="2"/>
    <x v="1"/>
    <n v="1600"/>
    <x v="63"/>
  </r>
  <r>
    <s v="Willard Gonzalez"/>
    <x v="0"/>
    <n v="3965379219"/>
    <s v="Willard@yahoo.com"/>
    <x v="1"/>
    <n v="908"/>
    <x v="3"/>
    <x v="1"/>
    <x v="0"/>
    <n v="120"/>
    <d v="2019-06-27T00:00:00"/>
    <x v="4"/>
    <x v="1"/>
    <n v="1100"/>
    <x v="64"/>
  </r>
  <r>
    <s v="Sheldon Ryan"/>
    <x v="0"/>
    <n v="2087336366"/>
    <s v="Sheldon@rediffmail.com"/>
    <x v="0"/>
    <n v="57"/>
    <x v="1"/>
    <x v="0"/>
    <x v="1"/>
    <n v="150"/>
    <d v="2019-06-04T00:00:00"/>
    <x v="5"/>
    <x v="1"/>
    <n v="700"/>
    <x v="65"/>
  </r>
  <r>
    <s v="Mable Kelley"/>
    <x v="1"/>
    <n v="1421179061"/>
    <s v="Mable@y.com"/>
    <x v="3"/>
    <n v="68"/>
    <x v="0"/>
    <x v="0"/>
    <x v="0"/>
    <n v="200"/>
    <d v="2020-05-21T00:00:00"/>
    <x v="4"/>
    <x v="2"/>
    <n v="600"/>
    <x v="66"/>
  </r>
  <r>
    <s v="Darrin Pope"/>
    <x v="0"/>
    <n v="7855543695"/>
    <s v="Darrin@gmail.com"/>
    <x v="1"/>
    <n v="829"/>
    <x v="1"/>
    <x v="0"/>
    <x v="1"/>
    <n v="150"/>
    <d v="2020-11-06T00:00:00"/>
    <x v="6"/>
    <x v="2"/>
    <n v="600"/>
    <x v="67"/>
  </r>
  <r>
    <s v="Sara Willis"/>
    <x v="1"/>
    <s v="Not Available"/>
    <s v="Sara@g.com"/>
    <x v="0"/>
    <n v="80"/>
    <x v="2"/>
    <x v="0"/>
    <x v="0"/>
    <n v="140"/>
    <d v="2020-11-20T00:00:00"/>
    <x v="6"/>
    <x v="2"/>
    <n v="700"/>
    <x v="68"/>
  </r>
  <r>
    <s v="Peter Wilkerson"/>
    <x v="0"/>
    <n v="1851286862"/>
    <s v="Peter@yahoo.com"/>
    <x v="1"/>
    <n v="493"/>
    <x v="3"/>
    <x v="1"/>
    <x v="1"/>
    <n v="120"/>
    <d v="2020-10-10T00:00:00"/>
    <x v="2"/>
    <x v="2"/>
    <n v="400"/>
    <x v="69"/>
  </r>
  <r>
    <s v="Camille Bishop"/>
    <x v="1"/>
    <n v="7478269060"/>
    <s v="Camille@y.com"/>
    <x v="0"/>
    <n v="511"/>
    <x v="1"/>
    <x v="4"/>
    <x v="0"/>
    <n v="150"/>
    <d v="2020-10-04T00:00:00"/>
    <x v="3"/>
    <x v="2"/>
    <n v="370"/>
    <x v="70"/>
  </r>
  <r>
    <s v="Andre Patrick"/>
    <x v="0"/>
    <n v="2633890534"/>
    <s v="Andre@rediffmail.com"/>
    <x v="4"/>
    <n v="772"/>
    <x v="3"/>
    <x v="3"/>
    <x v="1"/>
    <n v="120"/>
    <d v="2006-05-24T00:00:00"/>
    <x v="0"/>
    <x v="3"/>
    <n v="400"/>
    <x v="71"/>
  </r>
  <r>
    <s v="Heidi Ramsey"/>
    <x v="1"/>
    <n v="9742676067"/>
    <s v="Heidi@rediffmail.com"/>
    <x v="1"/>
    <n v="662"/>
    <x v="0"/>
    <x v="3"/>
    <x v="0"/>
    <n v="200"/>
    <d v="2020-05-18T00:00:00"/>
    <x v="1"/>
    <x v="2"/>
    <n v="180"/>
    <x v="72"/>
  </r>
  <r>
    <s v="Claudia Sharma"/>
    <x v="1"/>
    <n v="9751272637"/>
    <s v="Claudia@g.com"/>
    <x v="2"/>
    <n v="493"/>
    <x v="1"/>
    <x v="0"/>
    <x v="1"/>
    <n v="150"/>
    <d v="2020-01-14T00:00:00"/>
    <x v="5"/>
    <x v="2"/>
    <n v="500"/>
    <x v="73"/>
  </r>
  <r>
    <s v="Mamie Flores"/>
    <x v="1"/>
    <n v="1295980873"/>
    <s v="Mamie@g.com"/>
    <x v="1"/>
    <n v="334"/>
    <x v="2"/>
    <x v="0"/>
    <x v="0"/>
    <n v="140"/>
    <d v="2020-07-23T00:00:00"/>
    <x v="4"/>
    <x v="2"/>
    <n v="1600"/>
    <x v="74"/>
  </r>
  <r>
    <s v="Amelia Bridges"/>
    <x v="1"/>
    <n v="2659070909"/>
    <s v="Amelia@gmail.com"/>
    <x v="0"/>
    <n v="607"/>
    <x v="3"/>
    <x v="1"/>
    <x v="0"/>
    <n v="120"/>
    <d v="2020-12-31T00:00:00"/>
    <x v="4"/>
    <x v="2"/>
    <n v="500"/>
    <x v="75"/>
  </r>
  <r>
    <s v="Terry Patel"/>
    <x v="1"/>
    <n v="6307559482"/>
    <s v="Terry@y.com"/>
    <x v="3"/>
    <n v="462"/>
    <x v="1"/>
    <x v="2"/>
    <x v="0"/>
    <n v="150"/>
    <d v="2020-08-12T00:00:00"/>
    <x v="0"/>
    <x v="2"/>
    <n v="600"/>
    <x v="76"/>
  </r>
  <r>
    <s v="Edward Stephens"/>
    <x v="0"/>
    <n v="4762401518"/>
    <s v="Edward@rediffmail.com"/>
    <x v="0"/>
    <n v="561"/>
    <x v="0"/>
    <x v="0"/>
    <x v="0"/>
    <n v="200"/>
    <d v="2020-11-30T00:00:00"/>
    <x v="1"/>
    <x v="2"/>
    <n v="270"/>
    <x v="77"/>
  </r>
  <r>
    <s v="Lucille Gilbert"/>
    <x v="1"/>
    <n v="4139816123"/>
    <s v="Lucille@y.com"/>
    <x v="2"/>
    <n v="988"/>
    <x v="0"/>
    <x v="0"/>
    <x v="0"/>
    <n v="200"/>
    <d v="2020-01-14T00:00:00"/>
    <x v="5"/>
    <x v="2"/>
    <n v="800"/>
    <x v="78"/>
  </r>
  <r>
    <s v="Kathy Horton"/>
    <x v="1"/>
    <n v="3648449442"/>
    <s v="Kathy@gmail.com"/>
    <x v="2"/>
    <n v="149"/>
    <x v="1"/>
    <x v="0"/>
    <x v="1"/>
    <n v="150"/>
    <d v="2020-09-05T00:00:00"/>
    <x v="2"/>
    <x v="2"/>
    <n v="500"/>
    <x v="79"/>
  </r>
  <r>
    <s v="Wade Copeland"/>
    <x v="0"/>
    <n v="3877202047"/>
    <s v="Wade@y.com"/>
    <x v="2"/>
    <n v="223"/>
    <x v="0"/>
    <x v="0"/>
    <x v="1"/>
    <n v="200"/>
    <d v="2020-05-18T00:00:00"/>
    <x v="1"/>
    <x v="2"/>
    <n v="700"/>
    <x v="80"/>
  </r>
  <r>
    <s v="Jim Barker"/>
    <x v="0"/>
    <n v="6506423344"/>
    <s v="Jim@yahoo.com"/>
    <x v="1"/>
    <n v="647"/>
    <x v="1"/>
    <x v="4"/>
    <x v="0"/>
    <n v="150"/>
    <d v="2020-02-27T00:00:00"/>
    <x v="4"/>
    <x v="2"/>
    <n v="1600"/>
    <x v="81"/>
  </r>
  <r>
    <s v="Tiffany Foster"/>
    <x v="1"/>
    <s v="Not Available"/>
    <s v="Tiffany@g.com"/>
    <x v="0"/>
    <n v="67"/>
    <x v="2"/>
    <x v="2"/>
    <x v="0"/>
    <n v="140"/>
    <d v="2020-02-18T00:00:00"/>
    <x v="5"/>
    <x v="2"/>
    <n v="500"/>
    <x v="82"/>
  </r>
  <r>
    <s v="Mable Kelley"/>
    <x v="1"/>
    <n v="1421179061"/>
    <s v="Mable@y.com"/>
    <x v="3"/>
    <n v="68"/>
    <x v="0"/>
    <x v="0"/>
    <x v="0"/>
    <n v="200"/>
    <d v="2020-05-21T00:00:00"/>
    <x v="4"/>
    <x v="2"/>
    <n v="600"/>
    <x v="66"/>
  </r>
  <r>
    <s v="Darrin Pope"/>
    <x v="0"/>
    <n v="7855543695"/>
    <s v="Darrin@gmail.com"/>
    <x v="1"/>
    <n v="829"/>
    <x v="1"/>
    <x v="0"/>
    <x v="1"/>
    <n v="150"/>
    <d v="2020-11-06T00:00:00"/>
    <x v="6"/>
    <x v="2"/>
    <n v="600"/>
    <x v="67"/>
  </r>
  <r>
    <s v="Iris Kelley"/>
    <x v="1"/>
    <n v="6968276309"/>
    <s v="Iris@rediffmail.com"/>
    <x v="2"/>
    <n v="603"/>
    <x v="0"/>
    <x v="3"/>
    <x v="0"/>
    <n v="200"/>
    <d v="2020-07-30T00:00:00"/>
    <x v="4"/>
    <x v="2"/>
    <n v="800"/>
    <x v="83"/>
  </r>
  <r>
    <s v="Francisco Neal"/>
    <x v="0"/>
    <n v="3465735473"/>
    <s v="Francisco@gmail.com"/>
    <x v="4"/>
    <n v="946"/>
    <x v="0"/>
    <x v="3"/>
    <x v="1"/>
    <n v="200"/>
    <d v="2020-09-17T00:00:00"/>
    <x v="4"/>
    <x v="2"/>
    <n v="500"/>
    <x v="84"/>
  </r>
  <r>
    <s v="Casey Griffith"/>
    <x v="1"/>
    <n v="2498044864"/>
    <s v="Casey@g.com"/>
    <x v="1"/>
    <n v="607"/>
    <x v="1"/>
    <x v="0"/>
    <x v="0"/>
    <n v="150"/>
    <d v="2020-04-11T00:00:00"/>
    <x v="2"/>
    <x v="2"/>
    <n v="1600"/>
    <x v="85"/>
  </r>
  <r>
    <s v="Jonathan Bowers"/>
    <x v="0"/>
    <n v="2606769249"/>
    <s v="Jonathan@rediffmail.com"/>
    <x v="0"/>
    <n v="277"/>
    <x v="2"/>
    <x v="0"/>
    <x v="1"/>
    <n v="120"/>
    <d v="2020-05-07T00:00:00"/>
    <x v="4"/>
    <x v="2"/>
    <n v="1600"/>
    <x v="86"/>
  </r>
  <r>
    <s v="Erika Lawson"/>
    <x v="1"/>
    <n v="343424359"/>
    <s v="Erika@y.com"/>
    <x v="0"/>
    <n v="888"/>
    <x v="3"/>
    <x v="4"/>
    <x v="1"/>
    <n v="120"/>
    <d v="2020-01-02T00:00:00"/>
    <x v="4"/>
    <x v="2"/>
    <n v="1000"/>
    <x v="87"/>
  </r>
  <r>
    <s v="Willis Moody"/>
    <x v="0"/>
    <n v="2255117793"/>
    <s v="Willis@rediffmail.com"/>
    <x v="0"/>
    <n v="680"/>
    <x v="1"/>
    <x v="0"/>
    <x v="0"/>
    <n v="150"/>
    <d v="2020-08-19T00:00:00"/>
    <x v="0"/>
    <x v="2"/>
    <n v="1600"/>
    <x v="88"/>
  </r>
  <r>
    <s v="Laurie Reid"/>
    <x v="1"/>
    <s v="Not Available"/>
    <s v="Laurie@y.com"/>
    <x v="1"/>
    <n v="583"/>
    <x v="2"/>
    <x v="4"/>
    <x v="0"/>
    <n v="120"/>
    <d v="2020-08-25T00:00:00"/>
    <x v="5"/>
    <x v="2"/>
    <n v="1100"/>
    <x v="89"/>
  </r>
  <r>
    <s v="Monica Patel"/>
    <x v="1"/>
    <n v="7845748028"/>
    <s v="Monica@yahoo.com"/>
    <x v="2"/>
    <n v="79"/>
    <x v="0"/>
    <x v="0"/>
    <x v="1"/>
    <n v="200"/>
    <d v="2020-10-06T00:00:00"/>
    <x v="5"/>
    <x v="2"/>
    <n v="700"/>
    <x v="90"/>
  </r>
  <r>
    <s v="Candace Kelley"/>
    <x v="1"/>
    <n v="6122595301"/>
    <s v="Candace@g.com"/>
    <x v="2"/>
    <n v="497"/>
    <x v="0"/>
    <x v="3"/>
    <x v="0"/>
    <n v="200"/>
    <d v="2020-07-27T00:00:00"/>
    <x v="1"/>
    <x v="2"/>
    <n v="600"/>
    <x v="91"/>
  </r>
  <r>
    <s v="Joe Goodman"/>
    <x v="0"/>
    <n v="8349134128"/>
    <s v="Joe@gmail.com"/>
    <x v="4"/>
    <n v="154"/>
    <x v="0"/>
    <x v="3"/>
    <x v="1"/>
    <n v="200"/>
    <d v="2020-03-31T00:00:00"/>
    <x v="5"/>
    <x v="2"/>
    <n v="600"/>
    <x v="92"/>
  </r>
  <r>
    <s v="Christy Waters"/>
    <x v="1"/>
    <n v="4081880170"/>
    <s v="Christy@rediffmail.com"/>
    <x v="0"/>
    <n v="38"/>
    <x v="1"/>
    <x v="4"/>
    <x v="0"/>
    <n v="150"/>
    <d v="2020-08-26T00:00:00"/>
    <x v="0"/>
    <x v="2"/>
    <n v="700"/>
    <x v="93"/>
  </r>
  <r>
    <s v="Alyssa Simmons"/>
    <x v="1"/>
    <s v="Not Available"/>
    <s v="Alyssa@gmail.com"/>
    <x v="2"/>
    <n v="539"/>
    <x v="2"/>
    <x v="0"/>
    <x v="1"/>
    <n v="120"/>
    <d v="2020-10-30T00:00:00"/>
    <x v="6"/>
    <x v="2"/>
    <n v="400"/>
    <x v="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BB7ADB-D889-43A1-AA3E-D502312BE9B2}" name="PivotTable1" cacheId="2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Mode of payment">
  <location ref="H25:I2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Total Count" fld="1"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13">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ount"/>
    <pivotHierarchy dragToData="1" caption="Count of Total_count"/>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18C27-B209-4E68-A2AD-6D77CA0D57AA}" name="PivotTable2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Days">
  <location ref="L17:M24" firstHeaderRow="1" firstDataRow="1" firstDataCol="1"/>
  <pivotFields count="16">
    <pivotField showAll="0"/>
    <pivotField showAll="0">
      <items count="3">
        <item x="1"/>
        <item x="0"/>
        <item t="default"/>
      </items>
    </pivotField>
    <pivotField showAll="0"/>
    <pivotField showAll="0"/>
    <pivotField showAll="0">
      <items count="6">
        <item x="0"/>
        <item x="3"/>
        <item x="1"/>
        <item x="2"/>
        <item x="4"/>
        <item t="default"/>
      </items>
    </pivotField>
    <pivotField dataField="1" numFmtId="1" showAll="0"/>
    <pivotField showAll="0"/>
    <pivotField showAll="0">
      <items count="6">
        <item x="1"/>
        <item x="2"/>
        <item x="4"/>
        <item x="0"/>
        <item x="3"/>
        <item t="default"/>
      </items>
    </pivotField>
    <pivotField showAll="0">
      <items count="3">
        <item x="1"/>
        <item x="0"/>
        <item t="default"/>
      </items>
    </pivotField>
    <pivotField numFmtId="166" showAll="0"/>
    <pivotField numFmtId="169" showAll="0"/>
    <pivotField axis="axisRow" showAll="0">
      <items count="8">
        <item x="1"/>
        <item x="5"/>
        <item x="0"/>
        <item x="4"/>
        <item x="6"/>
        <item x="2"/>
        <item x="3"/>
        <item t="default"/>
      </items>
    </pivotField>
    <pivotField showAll="0">
      <items count="5">
        <item x="3"/>
        <item x="0"/>
        <item x="1"/>
        <item x="2"/>
        <item t="default"/>
      </items>
    </pivotField>
    <pivotField numFmtId="166" showAll="0"/>
    <pivotField numFmtId="168" showAll="0">
      <items count="96">
        <item x="0"/>
        <item x="1"/>
        <item x="2"/>
        <item x="4"/>
        <item x="5"/>
        <item x="6"/>
        <item x="7"/>
        <item x="8"/>
        <item x="9"/>
        <item x="10"/>
        <item x="11"/>
        <item x="3"/>
        <item x="12"/>
        <item x="13"/>
        <item x="14"/>
        <item x="15"/>
        <item x="16"/>
        <item x="17"/>
        <item x="18"/>
        <item x="19"/>
        <item x="20"/>
        <item x="21"/>
        <item x="22"/>
        <item x="23"/>
        <item x="26"/>
        <item x="27"/>
        <item x="28"/>
        <item x="29"/>
        <item x="30"/>
        <item x="31"/>
        <item x="32"/>
        <item x="33"/>
        <item x="34"/>
        <item x="35"/>
        <item x="36"/>
        <item x="37"/>
        <item x="38"/>
        <item x="39"/>
        <item x="40"/>
        <item x="41"/>
        <item x="42"/>
        <item x="43"/>
        <item x="24"/>
        <item x="25"/>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7">
    <i>
      <x/>
    </i>
    <i>
      <x v="1"/>
    </i>
    <i>
      <x v="2"/>
    </i>
    <i>
      <x v="3"/>
    </i>
    <i>
      <x v="4"/>
    </i>
    <i>
      <x v="5"/>
    </i>
    <i>
      <x v="6"/>
    </i>
  </rowItems>
  <colItems count="1">
    <i/>
  </colItems>
  <dataFields count="1">
    <dataField name="Count of Orders" fld="5" subtotal="count" baseField="11"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FB9E36-7379-497E-96C6-10C230E6DD1A}"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Locations" colHeaderCaption="Genders">
  <location ref="H2:J8" firstHeaderRow="1" firstDataRow="2" firstDataCol="1"/>
  <pivotFields count="16">
    <pivotField showAll="0"/>
    <pivotField axis="axisCol" showAll="0">
      <items count="3">
        <item x="1"/>
        <item x="0"/>
        <item t="default"/>
      </items>
    </pivotField>
    <pivotField showAll="0"/>
    <pivotField showAll="0"/>
    <pivotField axis="axisRow" showAll="0">
      <items count="6">
        <item x="0"/>
        <item x="3"/>
        <item x="1"/>
        <item x="2"/>
        <item x="4"/>
        <item t="default"/>
      </items>
    </pivotField>
    <pivotField numFmtId="1" showAll="0"/>
    <pivotField showAll="0"/>
    <pivotField showAll="0">
      <items count="6">
        <item x="1"/>
        <item x="2"/>
        <item x="4"/>
        <item x="0"/>
        <item x="3"/>
        <item t="default"/>
      </items>
    </pivotField>
    <pivotField showAll="0">
      <items count="3">
        <item x="1"/>
        <item x="0"/>
        <item t="default"/>
      </items>
    </pivotField>
    <pivotField numFmtId="166" showAll="0"/>
    <pivotField numFmtId="169" showAll="0"/>
    <pivotField showAll="0"/>
    <pivotField showAll="0">
      <items count="5">
        <item x="3"/>
        <item x="0"/>
        <item x="1"/>
        <item x="2"/>
        <item t="default"/>
      </items>
    </pivotField>
    <pivotField dataField="1" numFmtId="166" showAll="0"/>
    <pivotField numFmtId="168" showAll="0">
      <items count="96">
        <item x="0"/>
        <item x="1"/>
        <item x="2"/>
        <item x="4"/>
        <item x="5"/>
        <item x="6"/>
        <item x="7"/>
        <item x="8"/>
        <item x="9"/>
        <item x="10"/>
        <item x="11"/>
        <item x="3"/>
        <item x="12"/>
        <item x="13"/>
        <item x="14"/>
        <item x="15"/>
        <item x="16"/>
        <item x="17"/>
        <item x="18"/>
        <item x="19"/>
        <item x="20"/>
        <item x="21"/>
        <item x="22"/>
        <item x="23"/>
        <item x="26"/>
        <item x="27"/>
        <item x="28"/>
        <item x="29"/>
        <item x="30"/>
        <item x="31"/>
        <item x="32"/>
        <item x="33"/>
        <item x="34"/>
        <item x="35"/>
        <item x="36"/>
        <item x="37"/>
        <item x="38"/>
        <item x="39"/>
        <item x="40"/>
        <item x="41"/>
        <item x="42"/>
        <item x="43"/>
        <item x="24"/>
        <item x="25"/>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5">
    <i>
      <x/>
    </i>
    <i>
      <x v="1"/>
    </i>
    <i>
      <x v="2"/>
    </i>
    <i>
      <x v="3"/>
    </i>
    <i>
      <x v="4"/>
    </i>
  </rowItems>
  <colFields count="1">
    <field x="1"/>
  </colFields>
  <colItems count="2">
    <i>
      <x/>
    </i>
    <i>
      <x v="1"/>
    </i>
  </colItems>
  <dataFields count="1">
    <dataField name="Sum of Total amount" fld="13" baseField="0" baseItem="0"/>
  </dataFields>
  <chartFormats count="13">
    <chartFormat chart="4" format="20" series="1">
      <pivotArea type="data" outline="0" fieldPosition="0">
        <references count="2">
          <reference field="4294967294" count="1" selected="0">
            <x v="0"/>
          </reference>
          <reference field="1" count="1" selected="0">
            <x v="0"/>
          </reference>
        </references>
      </pivotArea>
    </chartFormat>
    <chartFormat chart="4" format="21">
      <pivotArea type="data" outline="0" fieldPosition="0">
        <references count="3">
          <reference field="4294967294" count="1" selected="0">
            <x v="0"/>
          </reference>
          <reference field="1" count="1" selected="0">
            <x v="0"/>
          </reference>
          <reference field="4" count="1" selected="0">
            <x v="0"/>
          </reference>
        </references>
      </pivotArea>
    </chartFormat>
    <chartFormat chart="4" format="22">
      <pivotArea type="data" outline="0" fieldPosition="0">
        <references count="3">
          <reference field="4294967294" count="1" selected="0">
            <x v="0"/>
          </reference>
          <reference field="1" count="1" selected="0">
            <x v="0"/>
          </reference>
          <reference field="4" count="1" selected="0">
            <x v="2"/>
          </reference>
        </references>
      </pivotArea>
    </chartFormat>
    <chartFormat chart="4" format="23">
      <pivotArea type="data" outline="0" fieldPosition="0">
        <references count="3">
          <reference field="4294967294" count="1" selected="0">
            <x v="0"/>
          </reference>
          <reference field="1" count="1" selected="0">
            <x v="0"/>
          </reference>
          <reference field="4" count="1" selected="0">
            <x v="3"/>
          </reference>
        </references>
      </pivotArea>
    </chartFormat>
    <chartFormat chart="4" format="24">
      <pivotArea type="data" outline="0" fieldPosition="0">
        <references count="3">
          <reference field="4294967294" count="1" selected="0">
            <x v="0"/>
          </reference>
          <reference field="1" count="1" selected="0">
            <x v="0"/>
          </reference>
          <reference field="4" count="1" selected="0">
            <x v="4"/>
          </reference>
        </references>
      </pivotArea>
    </chartFormat>
    <chartFormat chart="4" format="25" series="1">
      <pivotArea type="data" outline="0" fieldPosition="0">
        <references count="2">
          <reference field="4294967294" count="1" selected="0">
            <x v="0"/>
          </reference>
          <reference field="1" count="1" selected="0">
            <x v="1"/>
          </reference>
        </references>
      </pivotArea>
    </chartFormat>
    <chartFormat chart="4" format="26">
      <pivotArea type="data" outline="0" fieldPosition="0">
        <references count="3">
          <reference field="4294967294" count="1" selected="0">
            <x v="0"/>
          </reference>
          <reference field="1" count="1" selected="0">
            <x v="1"/>
          </reference>
          <reference field="4" count="1" selected="0">
            <x v="0"/>
          </reference>
        </references>
      </pivotArea>
    </chartFormat>
    <chartFormat chart="4" format="27">
      <pivotArea type="data" outline="0" fieldPosition="0">
        <references count="3">
          <reference field="4294967294" count="1" selected="0">
            <x v="0"/>
          </reference>
          <reference field="1" count="1" selected="0">
            <x v="1"/>
          </reference>
          <reference field="4" count="1" selected="0">
            <x v="2"/>
          </reference>
        </references>
      </pivotArea>
    </chartFormat>
    <chartFormat chart="4" format="28">
      <pivotArea type="data" outline="0" fieldPosition="0">
        <references count="3">
          <reference field="4294967294" count="1" selected="0">
            <x v="0"/>
          </reference>
          <reference field="1" count="1" selected="0">
            <x v="1"/>
          </reference>
          <reference field="4" count="1" selected="0">
            <x v="3"/>
          </reference>
        </references>
      </pivotArea>
    </chartFormat>
    <chartFormat chart="4" format="29">
      <pivotArea type="data" outline="0" fieldPosition="0">
        <references count="3">
          <reference field="4294967294" count="1" selected="0">
            <x v="0"/>
          </reference>
          <reference field="1" count="1" selected="0">
            <x v="1"/>
          </reference>
          <reference field="4" count="1" selected="0">
            <x v="4"/>
          </reference>
        </references>
      </pivotArea>
    </chartFormat>
    <chartFormat chart="4" format="30">
      <pivotArea type="data" outline="0" fieldPosition="0">
        <references count="3">
          <reference field="4294967294" count="1" selected="0">
            <x v="0"/>
          </reference>
          <reference field="1" count="1" selected="0">
            <x v="1"/>
          </reference>
          <reference field="4" count="1" selected="0">
            <x v="1"/>
          </reference>
        </references>
      </pivotArea>
    </chartFormat>
    <chartFormat chart="4" format="31" series="1">
      <pivotArea type="data" outline="0" fieldPosition="0">
        <references count="1">
          <reference field="4294967294" count="1" selected="0">
            <x v="0"/>
          </reference>
        </references>
      </pivotArea>
    </chartFormat>
    <chartFormat chart="4" format="3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3B45E4-8EE3-4F05-950D-38B8F79E481D}"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Locations" colHeaderCaption="Payment modes">
  <location ref="H17:J23" firstHeaderRow="1" firstDataRow="2" firstDataCol="1"/>
  <pivotFields count="16">
    <pivotField showAll="0"/>
    <pivotField showAll="0">
      <items count="3">
        <item x="1"/>
        <item x="0"/>
        <item t="default"/>
      </items>
    </pivotField>
    <pivotField showAll="0"/>
    <pivotField showAll="0"/>
    <pivotField axis="axisRow" showAll="0">
      <items count="6">
        <item x="0"/>
        <item x="3"/>
        <item x="1"/>
        <item x="2"/>
        <item x="4"/>
        <item t="default"/>
      </items>
    </pivotField>
    <pivotField dataField="1" numFmtId="1" showAll="0"/>
    <pivotField showAll="0"/>
    <pivotField showAll="0">
      <items count="6">
        <item x="1"/>
        <item x="2"/>
        <item x="4"/>
        <item x="0"/>
        <item x="3"/>
        <item t="default"/>
      </items>
    </pivotField>
    <pivotField axis="axisCol" showAll="0">
      <items count="3">
        <item x="1"/>
        <item x="0"/>
        <item t="default"/>
      </items>
    </pivotField>
    <pivotField numFmtId="166" showAll="0"/>
    <pivotField numFmtId="169" showAll="0"/>
    <pivotField showAll="0"/>
    <pivotField showAll="0">
      <items count="5">
        <item x="3"/>
        <item x="0"/>
        <item x="1"/>
        <item x="2"/>
        <item t="default"/>
      </items>
    </pivotField>
    <pivotField numFmtId="166" showAll="0"/>
    <pivotField numFmtId="168" showAll="0">
      <items count="96">
        <item x="0"/>
        <item x="1"/>
        <item x="2"/>
        <item x="4"/>
        <item x="5"/>
        <item x="6"/>
        <item x="7"/>
        <item x="8"/>
        <item x="9"/>
        <item x="10"/>
        <item x="11"/>
        <item x="3"/>
        <item x="12"/>
        <item x="13"/>
        <item x="14"/>
        <item x="15"/>
        <item x="16"/>
        <item x="17"/>
        <item x="18"/>
        <item x="19"/>
        <item x="20"/>
        <item x="21"/>
        <item x="22"/>
        <item x="23"/>
        <item x="26"/>
        <item x="27"/>
        <item x="28"/>
        <item x="29"/>
        <item x="30"/>
        <item x="31"/>
        <item x="32"/>
        <item x="33"/>
        <item x="34"/>
        <item x="35"/>
        <item x="36"/>
        <item x="37"/>
        <item x="38"/>
        <item x="39"/>
        <item x="40"/>
        <item x="41"/>
        <item x="42"/>
        <item x="43"/>
        <item x="24"/>
        <item x="25"/>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5">
    <i>
      <x/>
    </i>
    <i>
      <x v="1"/>
    </i>
    <i>
      <x v="2"/>
    </i>
    <i>
      <x v="3"/>
    </i>
    <i>
      <x v="4"/>
    </i>
  </rowItems>
  <colFields count="1">
    <field x="8"/>
  </colFields>
  <colItems count="2">
    <i>
      <x/>
    </i>
    <i>
      <x v="1"/>
    </i>
  </colItems>
  <dataFields count="1">
    <dataField name="Count of Orders" fld="5" subtotal="count" baseField="4" baseItem="0"/>
  </dataFields>
  <chartFormats count="3">
    <chartFormat chart="4" format="4" series="1">
      <pivotArea type="data" outline="0" fieldPosition="0">
        <references count="2">
          <reference field="4294967294" count="1" selected="0">
            <x v="0"/>
          </reference>
          <reference field="8" count="1" selected="0">
            <x v="0"/>
          </reference>
        </references>
      </pivotArea>
    </chartFormat>
    <chartFormat chart="4" format="5" series="1">
      <pivotArea type="data" outline="0" fieldPosition="0">
        <references count="2">
          <reference field="4294967294" count="1" selected="0">
            <x v="0"/>
          </reference>
          <reference field="8"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80A23-9E24-49AB-A489-6E6A897054C2}"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Years" colHeaderCaption="Genders">
  <location ref="K10:M15" firstHeaderRow="1" firstDataRow="2" firstDataCol="1"/>
  <pivotFields count="16">
    <pivotField showAll="0"/>
    <pivotField axis="axisCol" showAll="0">
      <items count="3">
        <item x="1"/>
        <item x="0"/>
        <item t="default"/>
      </items>
    </pivotField>
    <pivotField showAll="0"/>
    <pivotField showAll="0"/>
    <pivotField showAll="0">
      <items count="6">
        <item x="0"/>
        <item x="3"/>
        <item x="1"/>
        <item x="2"/>
        <item x="4"/>
        <item t="default"/>
      </items>
    </pivotField>
    <pivotField dataField="1" numFmtId="1" showAll="0"/>
    <pivotField showAll="0"/>
    <pivotField showAll="0">
      <items count="6">
        <item x="1"/>
        <item x="2"/>
        <item x="4"/>
        <item x="0"/>
        <item x="3"/>
        <item t="default"/>
      </items>
    </pivotField>
    <pivotField showAll="0">
      <items count="3">
        <item x="1"/>
        <item x="0"/>
        <item t="default"/>
      </items>
    </pivotField>
    <pivotField numFmtId="166" showAll="0"/>
    <pivotField numFmtId="169" showAll="0"/>
    <pivotField showAll="0"/>
    <pivotField axis="axisRow" showAll="0">
      <items count="5">
        <item x="3"/>
        <item x="0"/>
        <item x="1"/>
        <item x="2"/>
        <item t="default"/>
      </items>
    </pivotField>
    <pivotField numFmtId="166" showAll="0"/>
    <pivotField numFmtId="168" showAll="0">
      <items count="96">
        <item x="0"/>
        <item x="1"/>
        <item x="2"/>
        <item x="4"/>
        <item x="5"/>
        <item x="6"/>
        <item x="7"/>
        <item x="8"/>
        <item x="9"/>
        <item x="10"/>
        <item x="11"/>
        <item x="3"/>
        <item x="12"/>
        <item x="13"/>
        <item x="14"/>
        <item x="15"/>
        <item x="16"/>
        <item x="17"/>
        <item x="18"/>
        <item x="19"/>
        <item x="20"/>
        <item x="21"/>
        <item x="22"/>
        <item x="23"/>
        <item x="26"/>
        <item x="27"/>
        <item x="28"/>
        <item x="29"/>
        <item x="30"/>
        <item x="31"/>
        <item x="32"/>
        <item x="33"/>
        <item x="34"/>
        <item x="35"/>
        <item x="36"/>
        <item x="37"/>
        <item x="38"/>
        <item x="39"/>
        <item x="40"/>
        <item x="41"/>
        <item x="42"/>
        <item x="43"/>
        <item x="24"/>
        <item x="25"/>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x v="3"/>
    </i>
  </rowItems>
  <colFields count="1">
    <field x="1"/>
  </colFields>
  <colItems count="2">
    <i>
      <x/>
    </i>
    <i>
      <x v="1"/>
    </i>
  </colItems>
  <dataFields count="1">
    <dataField name="Count of Orders" fld="5" subtotal="count" baseField="12" baseItem="0"/>
  </dataFields>
  <chartFormats count="9">
    <chartFormat chart="4" format="16" series="1">
      <pivotArea type="data" outline="0" fieldPosition="0">
        <references count="2">
          <reference field="4294967294" count="1" selected="0">
            <x v="0"/>
          </reference>
          <reference field="1" count="1" selected="0">
            <x v="0"/>
          </reference>
        </references>
      </pivotArea>
    </chartFormat>
    <chartFormat chart="4" format="17">
      <pivotArea type="data" outline="0" fieldPosition="0">
        <references count="3">
          <reference field="4294967294" count="1" selected="0">
            <x v="0"/>
          </reference>
          <reference field="1" count="1" selected="0">
            <x v="0"/>
          </reference>
          <reference field="12" count="1" selected="0">
            <x v="1"/>
          </reference>
        </references>
      </pivotArea>
    </chartFormat>
    <chartFormat chart="4" format="18">
      <pivotArea type="data" outline="0" fieldPosition="0">
        <references count="3">
          <reference field="4294967294" count="1" selected="0">
            <x v="0"/>
          </reference>
          <reference field="1" count="1" selected="0">
            <x v="0"/>
          </reference>
          <reference field="12" count="1" selected="0">
            <x v="2"/>
          </reference>
        </references>
      </pivotArea>
    </chartFormat>
    <chartFormat chart="4" format="19">
      <pivotArea type="data" outline="0" fieldPosition="0">
        <references count="3">
          <reference field="4294967294" count="1" selected="0">
            <x v="0"/>
          </reference>
          <reference field="1" count="1" selected="0">
            <x v="0"/>
          </reference>
          <reference field="12" count="1" selected="0">
            <x v="3"/>
          </reference>
        </references>
      </pivotArea>
    </chartFormat>
    <chartFormat chart="4" format="20" series="1">
      <pivotArea type="data" outline="0" fieldPosition="0">
        <references count="2">
          <reference field="4294967294" count="1" selected="0">
            <x v="0"/>
          </reference>
          <reference field="1" count="1" selected="0">
            <x v="1"/>
          </reference>
        </references>
      </pivotArea>
    </chartFormat>
    <chartFormat chart="4" format="21">
      <pivotArea type="data" outline="0" fieldPosition="0">
        <references count="3">
          <reference field="4294967294" count="1" selected="0">
            <x v="0"/>
          </reference>
          <reference field="1" count="1" selected="0">
            <x v="1"/>
          </reference>
          <reference field="12" count="1" selected="0">
            <x v="1"/>
          </reference>
        </references>
      </pivotArea>
    </chartFormat>
    <chartFormat chart="4" format="22">
      <pivotArea type="data" outline="0" fieldPosition="0">
        <references count="3">
          <reference field="4294967294" count="1" selected="0">
            <x v="0"/>
          </reference>
          <reference field="1" count="1" selected="0">
            <x v="1"/>
          </reference>
          <reference field="12" count="1" selected="0">
            <x v="2"/>
          </reference>
        </references>
      </pivotArea>
    </chartFormat>
    <chartFormat chart="4" format="23">
      <pivotArea type="data" outline="0" fieldPosition="0">
        <references count="3">
          <reference field="4294967294" count="1" selected="0">
            <x v="0"/>
          </reference>
          <reference field="1" count="1" selected="0">
            <x v="1"/>
          </reference>
          <reference field="12" count="1" selected="0">
            <x v="3"/>
          </reference>
        </references>
      </pivotArea>
    </chartFormat>
    <chartFormat chart="4"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928C64-C0B5-4FFA-AE7F-411BF20089E7}"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Years">
  <location ref="H10:I14" firstHeaderRow="1" firstDataRow="1" firstDataCol="1"/>
  <pivotFields count="16">
    <pivotField showAll="0"/>
    <pivotField showAll="0">
      <items count="3">
        <item x="1"/>
        <item x="0"/>
        <item t="default"/>
      </items>
    </pivotField>
    <pivotField showAll="0"/>
    <pivotField showAll="0"/>
    <pivotField showAll="0">
      <items count="6">
        <item x="0"/>
        <item x="3"/>
        <item x="1"/>
        <item x="2"/>
        <item x="4"/>
        <item t="default"/>
      </items>
    </pivotField>
    <pivotField numFmtId="1" showAll="0"/>
    <pivotField showAll="0"/>
    <pivotField showAll="0">
      <items count="6">
        <item x="1"/>
        <item x="2"/>
        <item x="4"/>
        <item x="0"/>
        <item x="3"/>
        <item t="default"/>
      </items>
    </pivotField>
    <pivotField showAll="0">
      <items count="3">
        <item x="1"/>
        <item x="0"/>
        <item t="default"/>
      </items>
    </pivotField>
    <pivotField numFmtId="166" showAll="0"/>
    <pivotField numFmtId="169" showAll="0"/>
    <pivotField showAll="0"/>
    <pivotField axis="axisRow" showAll="0">
      <items count="5">
        <item x="3"/>
        <item x="0"/>
        <item x="1"/>
        <item x="2"/>
        <item t="default"/>
      </items>
    </pivotField>
    <pivotField dataField="1" numFmtId="166" showAll="0"/>
    <pivotField numFmtId="168" showAll="0">
      <items count="96">
        <item x="0"/>
        <item x="1"/>
        <item x="2"/>
        <item x="4"/>
        <item x="5"/>
        <item x="6"/>
        <item x="7"/>
        <item x="8"/>
        <item x="9"/>
        <item x="10"/>
        <item x="11"/>
        <item x="3"/>
        <item x="12"/>
        <item x="13"/>
        <item x="14"/>
        <item x="15"/>
        <item x="16"/>
        <item x="17"/>
        <item x="18"/>
        <item x="19"/>
        <item x="20"/>
        <item x="21"/>
        <item x="22"/>
        <item x="23"/>
        <item x="26"/>
        <item x="27"/>
        <item x="28"/>
        <item x="29"/>
        <item x="30"/>
        <item x="31"/>
        <item x="32"/>
        <item x="33"/>
        <item x="34"/>
        <item x="35"/>
        <item x="36"/>
        <item x="37"/>
        <item x="38"/>
        <item x="39"/>
        <item x="40"/>
        <item x="41"/>
        <item x="42"/>
        <item x="43"/>
        <item x="24"/>
        <item x="25"/>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x v="3"/>
    </i>
  </rowItems>
  <colItems count="1">
    <i/>
  </colItems>
  <dataFields count="1">
    <dataField name="Sum of Total amount" fld="1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F807E8-EF11-4670-B8D5-DFF87A46AA55}"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Reviews" colHeaderCaption="Years">
  <location ref="O14:S20" firstHeaderRow="1" firstDataRow="2" firstDataCol="1"/>
  <pivotFields count="16">
    <pivotField showAll="0"/>
    <pivotField showAll="0">
      <items count="3">
        <item x="1"/>
        <item x="0"/>
        <item t="default"/>
      </items>
    </pivotField>
    <pivotField showAll="0"/>
    <pivotField showAll="0"/>
    <pivotField showAll="0">
      <items count="6">
        <item x="0"/>
        <item x="3"/>
        <item x="1"/>
        <item x="2"/>
        <item x="4"/>
        <item t="default"/>
      </items>
    </pivotField>
    <pivotField dataField="1" numFmtId="1" showAll="0"/>
    <pivotField showAll="0"/>
    <pivotField axis="axisRow" showAll="0">
      <items count="6">
        <item x="1"/>
        <item x="2"/>
        <item x="4"/>
        <item x="0"/>
        <item x="3"/>
        <item t="default"/>
      </items>
    </pivotField>
    <pivotField showAll="0">
      <items count="3">
        <item x="1"/>
        <item x="0"/>
        <item t="default"/>
      </items>
    </pivotField>
    <pivotField numFmtId="166" showAll="0"/>
    <pivotField numFmtId="169" showAll="0"/>
    <pivotField showAll="0"/>
    <pivotField axis="axisCol" showAll="0">
      <items count="5">
        <item x="3"/>
        <item x="0"/>
        <item x="1"/>
        <item x="2"/>
        <item t="default"/>
      </items>
    </pivotField>
    <pivotField numFmtId="166" showAll="0"/>
    <pivotField numFmtId="168" showAll="0">
      <items count="96">
        <item x="0"/>
        <item x="1"/>
        <item x="2"/>
        <item x="4"/>
        <item x="5"/>
        <item x="6"/>
        <item x="7"/>
        <item x="8"/>
        <item x="9"/>
        <item x="10"/>
        <item x="11"/>
        <item x="3"/>
        <item x="12"/>
        <item x="13"/>
        <item x="14"/>
        <item x="15"/>
        <item x="16"/>
        <item x="17"/>
        <item x="18"/>
        <item x="19"/>
        <item x="20"/>
        <item x="21"/>
        <item x="22"/>
        <item x="23"/>
        <item x="26"/>
        <item x="27"/>
        <item x="28"/>
        <item x="29"/>
        <item x="30"/>
        <item x="31"/>
        <item x="32"/>
        <item x="33"/>
        <item x="34"/>
        <item x="35"/>
        <item x="36"/>
        <item x="37"/>
        <item x="38"/>
        <item x="39"/>
        <item x="40"/>
        <item x="41"/>
        <item x="42"/>
        <item x="43"/>
        <item x="24"/>
        <item x="25"/>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7"/>
  </rowFields>
  <rowItems count="5">
    <i>
      <x/>
    </i>
    <i>
      <x v="1"/>
    </i>
    <i>
      <x v="2"/>
    </i>
    <i>
      <x v="3"/>
    </i>
    <i>
      <x v="4"/>
    </i>
  </rowItems>
  <colFields count="1">
    <field x="12"/>
  </colFields>
  <colItems count="4">
    <i>
      <x/>
    </i>
    <i>
      <x v="1"/>
    </i>
    <i>
      <x v="2"/>
    </i>
    <i>
      <x v="3"/>
    </i>
  </colItems>
  <dataFields count="1">
    <dataField name="Count of Orders" fld="5" subtotal="count" baseField="7" baseItem="0"/>
  </dataFields>
  <chartFormats count="4">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4" format="10" series="1">
      <pivotArea type="data" outline="0" fieldPosition="0">
        <references count="2">
          <reference field="4294967294" count="1" selected="0">
            <x v="0"/>
          </reference>
          <reference field="12" count="1" selected="0">
            <x v="2"/>
          </reference>
        </references>
      </pivotArea>
    </chartFormat>
    <chartFormat chart="4"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D1BB23-2002-4DE2-9644-C7D1643F95BE}" name="PivotTable2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Time">
  <location ref="O2:P12" firstHeaderRow="1" firstDataRow="1" firstDataCol="1"/>
  <pivotFields count="16">
    <pivotField showAll="0"/>
    <pivotField showAll="0">
      <items count="3">
        <item x="1"/>
        <item x="0"/>
        <item t="default"/>
      </items>
    </pivotField>
    <pivotField showAll="0"/>
    <pivotField showAll="0"/>
    <pivotField showAll="0">
      <items count="6">
        <item x="0"/>
        <item x="3"/>
        <item x="1"/>
        <item x="2"/>
        <item x="4"/>
        <item t="default"/>
      </items>
    </pivotField>
    <pivotField dataField="1" numFmtId="1" showAll="0"/>
    <pivotField showAll="0"/>
    <pivotField showAll="0">
      <items count="6">
        <item x="1"/>
        <item x="2"/>
        <item x="4"/>
        <item x="0"/>
        <item x="3"/>
        <item t="default"/>
      </items>
    </pivotField>
    <pivotField showAll="0">
      <items count="3">
        <item x="1"/>
        <item x="0"/>
        <item t="default"/>
      </items>
    </pivotField>
    <pivotField numFmtId="166" showAll="0"/>
    <pivotField numFmtId="169" showAll="0"/>
    <pivotField showAll="0"/>
    <pivotField showAll="0">
      <items count="5">
        <item x="3"/>
        <item x="0"/>
        <item x="1"/>
        <item x="2"/>
        <item t="default"/>
      </items>
    </pivotField>
    <pivotField numFmtId="166" showAll="0"/>
    <pivotField numFmtId="168" showAll="0">
      <items count="96">
        <item x="0"/>
        <item x="1"/>
        <item x="2"/>
        <item x="4"/>
        <item x="5"/>
        <item x="6"/>
        <item x="7"/>
        <item x="8"/>
        <item x="9"/>
        <item x="10"/>
        <item x="11"/>
        <item x="3"/>
        <item x="12"/>
        <item x="13"/>
        <item x="14"/>
        <item x="15"/>
        <item x="16"/>
        <item x="17"/>
        <item x="18"/>
        <item x="19"/>
        <item x="20"/>
        <item x="21"/>
        <item x="22"/>
        <item x="23"/>
        <item x="26"/>
        <item x="27"/>
        <item x="28"/>
        <item x="29"/>
        <item x="30"/>
        <item x="31"/>
        <item x="32"/>
        <item x="33"/>
        <item x="34"/>
        <item x="35"/>
        <item x="36"/>
        <item x="37"/>
        <item x="38"/>
        <item x="39"/>
        <item x="40"/>
        <item x="41"/>
        <item x="42"/>
        <item x="43"/>
        <item x="24"/>
        <item x="25"/>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5"/>
  </rowFields>
  <rowItems count="10">
    <i>
      <x v="12"/>
    </i>
    <i>
      <x v="13"/>
    </i>
    <i>
      <x v="14"/>
    </i>
    <i>
      <x v="15"/>
    </i>
    <i>
      <x v="16"/>
    </i>
    <i>
      <x v="17"/>
    </i>
    <i>
      <x v="18"/>
    </i>
    <i>
      <x v="19"/>
    </i>
    <i>
      <x v="20"/>
    </i>
    <i>
      <x v="21"/>
    </i>
  </rowItems>
  <colItems count="1">
    <i/>
  </colItems>
  <dataFields count="1">
    <dataField name="Count of Orders" fld="5" subtotal="countNums" baseField="15" baseItem="1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60815C-95DC-4D56-9BFA-36D3207C4CEB}"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Product Type">
  <location ref="L2:M6" firstHeaderRow="1" firstDataRow="1" firstDataCol="1"/>
  <pivotFields count="16">
    <pivotField showAll="0"/>
    <pivotField showAll="0">
      <items count="3">
        <item x="1"/>
        <item x="0"/>
        <item t="default"/>
      </items>
    </pivotField>
    <pivotField showAll="0"/>
    <pivotField showAll="0"/>
    <pivotField showAll="0">
      <items count="6">
        <item x="0"/>
        <item x="3"/>
        <item x="1"/>
        <item x="2"/>
        <item x="4"/>
        <item t="default"/>
      </items>
    </pivotField>
    <pivotField dataField="1" numFmtId="1" showAll="0"/>
    <pivotField axis="axisRow" showAll="0">
      <items count="5">
        <item x="0"/>
        <item x="3"/>
        <item x="2"/>
        <item x="1"/>
        <item t="default"/>
      </items>
    </pivotField>
    <pivotField showAll="0">
      <items count="6">
        <item x="1"/>
        <item x="2"/>
        <item x="4"/>
        <item x="0"/>
        <item x="3"/>
        <item t="default"/>
      </items>
    </pivotField>
    <pivotField showAll="0">
      <items count="3">
        <item x="1"/>
        <item x="0"/>
        <item t="default"/>
      </items>
    </pivotField>
    <pivotField numFmtId="166" showAll="0"/>
    <pivotField numFmtId="169" showAll="0"/>
    <pivotField showAll="0"/>
    <pivotField showAll="0">
      <items count="5">
        <item x="3"/>
        <item x="0"/>
        <item x="1"/>
        <item x="2"/>
        <item t="default"/>
      </items>
    </pivotField>
    <pivotField numFmtId="166" showAll="0"/>
    <pivotField numFmtId="168" showAll="0">
      <items count="96">
        <item x="0"/>
        <item x="1"/>
        <item x="2"/>
        <item x="4"/>
        <item x="5"/>
        <item x="6"/>
        <item x="7"/>
        <item x="8"/>
        <item x="9"/>
        <item x="10"/>
        <item x="11"/>
        <item x="3"/>
        <item x="12"/>
        <item x="13"/>
        <item x="14"/>
        <item x="15"/>
        <item x="16"/>
        <item x="17"/>
        <item x="18"/>
        <item x="19"/>
        <item x="20"/>
        <item x="21"/>
        <item x="22"/>
        <item x="23"/>
        <item x="26"/>
        <item x="27"/>
        <item x="28"/>
        <item x="29"/>
        <item x="30"/>
        <item x="31"/>
        <item x="32"/>
        <item x="33"/>
        <item x="34"/>
        <item x="35"/>
        <item x="36"/>
        <item x="37"/>
        <item x="38"/>
        <item x="39"/>
        <item x="40"/>
        <item x="41"/>
        <item x="42"/>
        <item x="43"/>
        <item x="24"/>
        <item x="25"/>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4">
    <i>
      <x/>
    </i>
    <i>
      <x v="1"/>
    </i>
    <i>
      <x v="2"/>
    </i>
    <i>
      <x v="3"/>
    </i>
  </rowItems>
  <colItems count="1">
    <i/>
  </colItems>
  <dataFields count="1">
    <dataField name="Count of P.ID" fld="5" subtotal="count" baseField="6"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830232A-D5EF-40CC-8EE8-DC98512D889F}" sourceName="Gender">
  <pivotTables>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s>
  <data>
    <tabular pivotCacheId="74535145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5C12EBD-96ED-4E2E-BB3B-1DAF7B7207A4}" sourceName="Location">
  <pivotTables>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s>
  <data>
    <tabular pivotCacheId="745351452">
      <items count="5">
        <i x="0" s="1"/>
        <i x="3"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001390DC-F3F7-4425-9DD5-3ADC3DC0BE6D}" sourceName="Review">
  <pivotTables>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s>
  <data>
    <tabular pivotCacheId="745351452">
      <items count="5">
        <i x="1" s="1"/>
        <i x="2"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ey_Type" xr10:uid="{A8E1C768-B2A8-4AFB-979E-25A05FB7F856}" sourceName="Money Type">
  <pivotTables>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s>
  <data>
    <tabular pivotCacheId="745351452">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CDEA6AA-9FDA-4C4E-ACFA-DCBE0A267F8E}" sourceName="Year">
  <pivotTables>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s>
  <data>
    <tabular pivotCacheId="745351452">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__Time" xr10:uid="{5E2590FF-CC50-4C2D-9A1E-7656AF110599}" sourceName="Hours (Time)">
  <pivotTables>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s>
  <data>
    <tabular pivotCacheId="745351452">
      <items count="26">
        <i x="14" s="1"/>
        <i x="12" s="1"/>
        <i x="13" s="1"/>
        <i x="15" s="1"/>
        <i x="16" s="1"/>
        <i x="17" s="1"/>
        <i x="18" s="1"/>
        <i x="19" s="1"/>
        <i x="20" s="1"/>
        <i x="21" s="1"/>
        <i x="0" s="1" nd="1"/>
        <i x="25" s="1" nd="1"/>
        <i x="2" s="1" nd="1"/>
        <i x="11" s="1" nd="1"/>
        <i x="23" s="1" nd="1"/>
        <i x="24" s="1" nd="1"/>
        <i x="1" s="1" nd="1"/>
        <i x="3" s="1" nd="1"/>
        <i x="4" s="1" nd="1"/>
        <i x="5" s="1" nd="1"/>
        <i x="6" s="1" nd="1"/>
        <i x="7" s="1" nd="1"/>
        <i x="8" s="1" nd="1"/>
        <i x="9" s="1" nd="1"/>
        <i x="10" s="1" nd="1"/>
        <i x="2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9FEC50-6AC5-4F81-93EE-D58C471C1A62}" cache="Slicer_Gender" caption="Gender" style="SlicerStyleDark6" rowHeight="234950"/>
  <slicer name="Location" xr10:uid="{AD4B33D7-1A17-4278-8A62-745DA5651413}" cache="Slicer_Location" caption="Location" style="SlicerStyleDark2" rowHeight="234950"/>
  <slicer name="Review" xr10:uid="{520D94C9-1DE5-49C1-854D-78EA71A71344}" cache="Slicer_Review" caption="Review" style="SlicerStyleLight6" rowHeight="234950"/>
  <slicer name="Money Type" xr10:uid="{4550E703-80A7-458B-A114-B38CE24BE360}" cache="Slicer_Money_Type" caption="Money Type" style="SlicerStyleDark4" rowHeight="234950"/>
  <slicer name="Year" xr10:uid="{5F5A44B1-7C46-43C2-9E34-93F4CCF5CF38}" cache="Slicer_Year" caption="Year" style="SlicerStyleDark1" rowHeight="234950"/>
  <slicer name="Hours (Time)" xr10:uid="{8C9A65D0-4A5D-4A4B-B13E-CBA56C71E1AA}" cache="Slicer_Hours__Time" caption="Hours (Time)" startItem="1"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E20B3-D626-47D2-A75C-62D3907E8076}" name="Table1" displayName="Table1" ref="A1:O101" totalsRowShown="0" headerRowDxfId="73" headerRowBorderDxfId="72" tableBorderDxfId="71" totalsRowBorderDxfId="70">
  <autoFilter ref="A1:O101" xr:uid="{7D7E20B3-D626-47D2-A75C-62D3907E8076}"/>
  <tableColumns count="15">
    <tableColumn id="1" xr3:uid="{060931E1-125E-417E-90BB-71DC6C7CB495}" name="Name" dataDxfId="69"/>
    <tableColumn id="2" xr3:uid="{3FF6B7DA-B8A6-481E-817C-7A93E5E2C4B3}" name="Gender" dataDxfId="68"/>
    <tableColumn id="3" xr3:uid="{21A2567B-43C8-43D3-B345-DC46486A69C3}" name="Mob" dataDxfId="67"/>
    <tableColumn id="4" xr3:uid="{F99D5242-53F5-447D-8203-40F1E20DE0A8}" name="Email" dataDxfId="66"/>
    <tableColumn id="5" xr3:uid="{23964A91-73D4-4F51-8497-F1D4C712313E}" name="Location" dataDxfId="65"/>
    <tableColumn id="6" xr3:uid="{F4B22E81-66ED-46D9-949C-69B5DDAFD94C}" name="P.ID" dataDxfId="64"/>
    <tableColumn id="7" xr3:uid="{0BFC6D54-5BDD-41DA-BE61-E4D6F63701F9}" name="Prodcut Type" dataDxfId="63"/>
    <tableColumn id="8" xr3:uid="{AFBEDAA7-F716-42D1-A7AB-AD92BF01865A}" name="Review" dataDxfId="62"/>
    <tableColumn id="9" xr3:uid="{BF0668C5-7377-4B9B-BF07-B3864792A22C}" name="Money Type" dataDxfId="61"/>
    <tableColumn id="10" xr3:uid="{4581EFC6-26E7-41A2-9C08-124D3FA9FD74}" name="Price" dataDxfId="60"/>
    <tableColumn id="11" xr3:uid="{1A732B09-CF05-4895-AAFA-039A613276E4}" name="Date of Order" dataDxfId="59"/>
    <tableColumn id="12" xr3:uid="{AD6A1C75-87AB-4BA0-8B3D-6017208C224C}" name="Day" dataDxfId="58">
      <calculatedColumnFormula>TEXT(K2,"dddd")</calculatedColumnFormula>
    </tableColumn>
    <tableColumn id="13" xr3:uid="{D8E45C30-F5CF-4411-9139-0C712C8569C1}" name="Year" dataDxfId="57">
      <calculatedColumnFormula>YEAR(K2)</calculatedColumnFormula>
    </tableColumn>
    <tableColumn id="14" xr3:uid="{89EAAD88-1B5A-443F-A172-C904BA916FD7}" name="Total amount" dataDxfId="56"/>
    <tableColumn id="15" xr3:uid="{0BFBB3D3-1282-4682-877C-40B05677B00B}" name="Time" dataDxfId="5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F47782-496A-47D9-838D-C7879096948B}" name="Table2" displayName="Table2" ref="B2:C4" totalsRowShown="0" headerRowBorderDxfId="54" tableBorderDxfId="53" totalsRowBorderDxfId="52">
  <autoFilter ref="B2:C4" xr:uid="{10F47782-496A-47D9-838D-C7879096948B}"/>
  <tableColumns count="2">
    <tableColumn id="1" xr3:uid="{2D6709BE-CD2F-4EB5-96EF-551D65081353}" name="Gender" dataDxfId="51"/>
    <tableColumn id="2" xr3:uid="{9DB498D6-8EF9-40D0-BCC9-0167D0DB8A8B}" name="Total" dataDxfId="5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FDB166-2153-4B92-A7FE-E8F211350D9E}" name="Table3" displayName="Table3" ref="B6:C11" totalsRowShown="0" headerRowDxfId="49" headerRowBorderDxfId="48" tableBorderDxfId="47" totalsRowBorderDxfId="46">
  <autoFilter ref="B6:C11" xr:uid="{C8FDB166-2153-4B92-A7FE-E8F211350D9E}"/>
  <tableColumns count="2">
    <tableColumn id="1" xr3:uid="{ECAF327E-DC62-4690-8B83-045099B323CB}" name="Review" dataDxfId="45"/>
    <tableColumn id="2" xr3:uid="{3EEBB00A-9EBF-441D-BAEA-24945D43D4DB}" name="Total_count"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3EE9A1-8D19-4B7C-8437-B4A7795AE9E2}" name="Table4" displayName="Table4" ref="B13:C15" totalsRowShown="0" headerRowDxfId="43" headerRowBorderDxfId="42" tableBorderDxfId="41" totalsRowBorderDxfId="40">
  <autoFilter ref="B13:C15" xr:uid="{0B3EE9A1-8D19-4B7C-8437-B4A7795AE9E2}"/>
  <tableColumns count="2">
    <tableColumn id="1" xr3:uid="{6F6C4E89-8643-43C0-A755-2B5CB41DEA19}" name="Money_type" dataDxfId="39"/>
    <tableColumn id="2" xr3:uid="{E3BA7041-A12C-4F46-AA7E-A3940EBE482C}" name="Total_count" dataDxfId="3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95F895-F2D1-452A-84EB-5786E539BC59}" name="Table5" displayName="Table5" ref="B17:C22" totalsRowShown="0" headerRowDxfId="37" headerRowBorderDxfId="36" tableBorderDxfId="35" totalsRowBorderDxfId="34">
  <autoFilter ref="B17:C22" xr:uid="{E695F895-F2D1-452A-84EB-5786E539BC59}"/>
  <tableColumns count="2">
    <tableColumn id="1" xr3:uid="{415E73F0-2DD4-4CA4-B6C8-A914A84567D5}" name="location" dataDxfId="33"/>
    <tableColumn id="2" xr3:uid="{34256405-F678-4B0B-9D35-4963735952C4}" name="order_count" dataDxfId="3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E9EA47-087F-4A4C-A0A6-A8199E303B68}" name="Table6" displayName="Table6" ref="E2:F5" totalsRowShown="0" headerRowDxfId="31" headerRowBorderDxfId="30" tableBorderDxfId="29" totalsRowBorderDxfId="28">
  <autoFilter ref="E2:F5" xr:uid="{9DE9EA47-087F-4A4C-A0A6-A8199E303B68}"/>
  <tableColumns count="2">
    <tableColumn id="1" xr3:uid="{5AE625F5-05D1-4234-865F-C855B2BB99F5}" name="Product_type" dataDxfId="27"/>
    <tableColumn id="2" xr3:uid="{DFF17C77-B395-4A9F-AC22-95886608FCF9}" name="most_sold" dataDxfId="2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42973F-C404-49DE-A378-D455FA9E1F80}" name="Table7" displayName="Table7" ref="E7:F10" totalsRowShown="0" headerRowBorderDxfId="25" tableBorderDxfId="24" totalsRowBorderDxfId="23">
  <autoFilter ref="E7:F10" xr:uid="{3E42973F-C404-49DE-A378-D455FA9E1F80}"/>
  <tableColumns count="2">
    <tableColumn id="1" xr3:uid="{ACD30A7B-56C0-43E3-B150-7395AFD87CA6}" name="Product_type" dataDxfId="22"/>
    <tableColumn id="2" xr3:uid="{C8B97EC6-0349-4690-9FFA-EF625BC6C347}" name="max_price" dataDxfId="2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978D67-53C4-4D25-8C6F-DB0401CFBB3E}" name="Table8" displayName="Table8" ref="E12:F16" totalsRowShown="0" headerRowDxfId="20" headerRowBorderDxfId="19" tableBorderDxfId="18" totalsRowBorderDxfId="17">
  <autoFilter ref="E12:F16" xr:uid="{BD978D67-53C4-4D25-8C6F-DB0401CFBB3E}"/>
  <tableColumns count="2">
    <tableColumn id="1" xr3:uid="{CF3C4914-ADF3-482B-A488-7EB958D2236E}" name="year" dataDxfId="16"/>
    <tableColumn id="2" xr3:uid="{1A20038F-2E36-4BAC-A2DD-945E72898939}" name="total_orders" dataDxfId="1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1F2BEE-D882-4998-96E4-FA2702F60722}" name="Table9" displayName="Table9" ref="E18:F22" totalsRowShown="0" headerRowBorderDxfId="14" tableBorderDxfId="13" totalsRowBorderDxfId="12">
  <autoFilter ref="E18:F22" xr:uid="{101F2BEE-D882-4998-96E4-FA2702F60722}"/>
  <tableColumns count="2">
    <tableColumn id="1" xr3:uid="{ACB61A4C-D0E8-419F-A670-3E56A3CE1B5E}" name="Year" dataDxfId="11"/>
    <tableColumn id="2" xr3:uid="{E19A392B-B34D-41AB-A576-23D90DEB29F4}" name="Annual_revenue" dataDxfId="1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4.xml"/><Relationship Id="rId17" Type="http://schemas.openxmlformats.org/officeDocument/2006/relationships/table" Target="../tables/table9.xml"/><Relationship Id="rId2" Type="http://schemas.openxmlformats.org/officeDocument/2006/relationships/pivotTable" Target="../pivotTables/pivotTable2.xml"/><Relationship Id="rId16" Type="http://schemas.openxmlformats.org/officeDocument/2006/relationships/table" Target="../tables/table8.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3.xml"/><Relationship Id="rId5" Type="http://schemas.openxmlformats.org/officeDocument/2006/relationships/pivotTable" Target="../pivotTables/pivotTable5.xml"/><Relationship Id="rId15" Type="http://schemas.openxmlformats.org/officeDocument/2006/relationships/table" Target="../tables/table7.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8FB4-8227-4429-945E-6215A8DE4FB3}">
  <sheetPr>
    <tabColor rgb="FF7030A0"/>
  </sheetPr>
  <dimension ref="A1:AF3"/>
  <sheetViews>
    <sheetView tabSelected="1" zoomScale="55" zoomScaleNormal="80" workbookViewId="0">
      <selection activeCell="AH25" sqref="AH25"/>
    </sheetView>
  </sheetViews>
  <sheetFormatPr defaultRowHeight="14.4" x14ac:dyDescent="0.3"/>
  <cols>
    <col min="1" max="16384" width="8.88671875" style="33"/>
  </cols>
  <sheetData>
    <row r="1" spans="1:32" x14ac:dyDescent="0.3">
      <c r="A1" s="34" t="s">
        <v>262</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6"/>
    </row>
    <row r="2" spans="1:32" x14ac:dyDescent="0.3">
      <c r="A2" s="37"/>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9"/>
    </row>
    <row r="3" spans="1:32" ht="15" thickBot="1" x14ac:dyDescent="0.35">
      <c r="A3" s="40"/>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2"/>
    </row>
  </sheetData>
  <mergeCells count="1">
    <mergeCell ref="A1:AF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2D292-4243-4B79-B4F6-02127500594E}">
  <sheetPr>
    <tabColor theme="3" tint="0.39997558519241921"/>
  </sheetPr>
  <dimension ref="A1:O101"/>
  <sheetViews>
    <sheetView topLeftCell="A2" workbookViewId="0">
      <selection activeCell="A13" sqref="A13"/>
    </sheetView>
  </sheetViews>
  <sheetFormatPr defaultRowHeight="14.4" x14ac:dyDescent="0.3"/>
  <cols>
    <col min="1" max="1" width="15.33203125" bestFit="1" customWidth="1"/>
    <col min="2" max="2" width="9" customWidth="1"/>
    <col min="3" max="3" width="13.6640625" bestFit="1" customWidth="1"/>
    <col min="4" max="4" width="23.109375" bestFit="1" customWidth="1"/>
    <col min="5" max="5" width="12" bestFit="1" customWidth="1"/>
    <col min="6" max="6" width="6.5546875" bestFit="1" customWidth="1"/>
    <col min="7" max="7" width="15.77734375" bestFit="1" customWidth="1"/>
    <col min="8" max="8" width="11.88671875" bestFit="1" customWidth="1"/>
    <col min="9" max="9" width="13.77734375" bestFit="1" customWidth="1"/>
    <col min="10" max="10" width="8" bestFit="1" customWidth="1"/>
    <col min="11" max="11" width="16.77734375" bestFit="1" customWidth="1"/>
    <col min="12" max="13" width="16.77734375" customWidth="1"/>
    <col min="14" max="14" width="14.21875" customWidth="1"/>
    <col min="15" max="15" width="11.33203125" bestFit="1" customWidth="1"/>
  </cols>
  <sheetData>
    <row r="1" spans="1:15" x14ac:dyDescent="0.3">
      <c r="A1" s="13" t="s">
        <v>0</v>
      </c>
      <c r="B1" s="14" t="s">
        <v>9</v>
      </c>
      <c r="C1" s="15" t="s">
        <v>1</v>
      </c>
      <c r="D1" s="14" t="s">
        <v>2</v>
      </c>
      <c r="E1" s="14" t="s">
        <v>4</v>
      </c>
      <c r="F1" s="15" t="s">
        <v>219</v>
      </c>
      <c r="G1" s="14" t="s">
        <v>205</v>
      </c>
      <c r="H1" s="14" t="s">
        <v>206</v>
      </c>
      <c r="I1" s="14" t="s">
        <v>166</v>
      </c>
      <c r="J1" s="16" t="s">
        <v>5</v>
      </c>
      <c r="K1" s="17" t="s">
        <v>220</v>
      </c>
      <c r="L1" s="17" t="s">
        <v>234</v>
      </c>
      <c r="M1" s="17" t="s">
        <v>232</v>
      </c>
      <c r="N1" s="16" t="s">
        <v>7</v>
      </c>
      <c r="O1" s="18" t="s">
        <v>8</v>
      </c>
    </row>
    <row r="2" spans="1:15" x14ac:dyDescent="0.3">
      <c r="A2" s="11" t="s">
        <v>10</v>
      </c>
      <c r="B2" s="7" t="s">
        <v>82</v>
      </c>
      <c r="C2" s="8">
        <v>9906960566</v>
      </c>
      <c r="D2" s="7" t="s">
        <v>84</v>
      </c>
      <c r="E2" s="7" t="s">
        <v>173</v>
      </c>
      <c r="F2" s="8">
        <v>753</v>
      </c>
      <c r="G2" s="7" t="s">
        <v>169</v>
      </c>
      <c r="H2" s="7" t="s">
        <v>78</v>
      </c>
      <c r="I2" s="7" t="s">
        <v>167</v>
      </c>
      <c r="J2" s="9">
        <v>200</v>
      </c>
      <c r="K2" s="10">
        <v>43439</v>
      </c>
      <c r="L2" s="7" t="str">
        <f>TEXT(K2,"dddd")</f>
        <v>Wednesday</v>
      </c>
      <c r="M2" s="7">
        <f>YEAR(K2)</f>
        <v>2018</v>
      </c>
      <c r="N2" s="9">
        <v>700</v>
      </c>
      <c r="O2" s="12">
        <v>0.45833333333333331</v>
      </c>
    </row>
    <row r="3" spans="1:15" x14ac:dyDescent="0.3">
      <c r="A3" s="11" t="s">
        <v>11</v>
      </c>
      <c r="B3" s="7" t="s">
        <v>83</v>
      </c>
      <c r="C3" s="8">
        <v>5900874374</v>
      </c>
      <c r="D3" s="7" t="s">
        <v>103</v>
      </c>
      <c r="E3" s="7" t="s">
        <v>173</v>
      </c>
      <c r="F3" s="8">
        <v>109</v>
      </c>
      <c r="G3" s="7" t="s">
        <v>221</v>
      </c>
      <c r="H3" s="7" t="s">
        <v>79</v>
      </c>
      <c r="I3" s="7" t="s">
        <v>168</v>
      </c>
      <c r="J3" s="9">
        <v>150</v>
      </c>
      <c r="K3" s="10">
        <v>43269</v>
      </c>
      <c r="L3" s="7" t="str">
        <f t="shared" ref="L3:L66" si="0">TEXT(K3,"dddd")</f>
        <v>Monday</v>
      </c>
      <c r="M3" s="7">
        <f t="shared" ref="M3:M66" si="1">YEAR(K3)</f>
        <v>2018</v>
      </c>
      <c r="N3" s="9">
        <v>600</v>
      </c>
      <c r="O3" s="12">
        <v>0.46180555555555558</v>
      </c>
    </row>
    <row r="4" spans="1:15" x14ac:dyDescent="0.3">
      <c r="A4" s="11" t="s">
        <v>177</v>
      </c>
      <c r="B4" s="7" t="s">
        <v>82</v>
      </c>
      <c r="C4" s="8">
        <v>453601168</v>
      </c>
      <c r="D4" s="7" t="s">
        <v>85</v>
      </c>
      <c r="E4" s="7" t="s">
        <v>176</v>
      </c>
      <c r="F4" s="8">
        <v>124</v>
      </c>
      <c r="G4" s="7" t="s">
        <v>172</v>
      </c>
      <c r="H4" s="7" t="s">
        <v>80</v>
      </c>
      <c r="I4" s="7" t="s">
        <v>168</v>
      </c>
      <c r="J4" s="9">
        <v>140</v>
      </c>
      <c r="K4" s="10">
        <v>43134</v>
      </c>
      <c r="L4" s="7" t="str">
        <f t="shared" si="0"/>
        <v>Saturday</v>
      </c>
      <c r="M4" s="7">
        <f t="shared" si="1"/>
        <v>2018</v>
      </c>
      <c r="N4" s="9">
        <v>600</v>
      </c>
      <c r="O4" s="12">
        <v>0.46527777777777773</v>
      </c>
    </row>
    <row r="5" spans="1:15" x14ac:dyDescent="0.3">
      <c r="A5" s="11" t="s">
        <v>178</v>
      </c>
      <c r="B5" s="7" t="s">
        <v>83</v>
      </c>
      <c r="C5" s="8">
        <v>1032274597</v>
      </c>
      <c r="D5" s="7" t="s">
        <v>207</v>
      </c>
      <c r="E5" s="7" t="s">
        <v>174</v>
      </c>
      <c r="F5" s="8">
        <v>161</v>
      </c>
      <c r="G5" s="7" t="s">
        <v>172</v>
      </c>
      <c r="H5" s="7" t="s">
        <v>80</v>
      </c>
      <c r="I5" s="7" t="s">
        <v>168</v>
      </c>
      <c r="J5" s="9">
        <v>140</v>
      </c>
      <c r="K5" s="10">
        <v>43233</v>
      </c>
      <c r="L5" s="7" t="str">
        <f t="shared" si="0"/>
        <v>Sunday</v>
      </c>
      <c r="M5" s="7">
        <f t="shared" si="1"/>
        <v>2018</v>
      </c>
      <c r="N5" s="9">
        <v>267</v>
      </c>
      <c r="O5" s="12">
        <v>0.50347222222222221</v>
      </c>
    </row>
    <row r="6" spans="1:15" x14ac:dyDescent="0.3">
      <c r="A6" s="11" t="s">
        <v>12</v>
      </c>
      <c r="B6" s="7" t="s">
        <v>82</v>
      </c>
      <c r="C6" s="8">
        <v>1664438923</v>
      </c>
      <c r="D6" s="7" t="s">
        <v>86</v>
      </c>
      <c r="E6" s="7" t="s">
        <v>173</v>
      </c>
      <c r="F6" s="8">
        <v>533</v>
      </c>
      <c r="G6" s="7" t="s">
        <v>169</v>
      </c>
      <c r="H6" s="7" t="s">
        <v>204</v>
      </c>
      <c r="I6" s="7" t="s">
        <v>167</v>
      </c>
      <c r="J6" s="9">
        <v>200</v>
      </c>
      <c r="K6" s="10">
        <v>43170</v>
      </c>
      <c r="L6" s="7" t="str">
        <f t="shared" si="0"/>
        <v>Sunday</v>
      </c>
      <c r="M6" s="7">
        <f t="shared" si="1"/>
        <v>2018</v>
      </c>
      <c r="N6" s="9">
        <v>400</v>
      </c>
      <c r="O6" s="12">
        <v>0.47569444444444442</v>
      </c>
    </row>
    <row r="7" spans="1:15" x14ac:dyDescent="0.3">
      <c r="A7" s="11" t="s">
        <v>13</v>
      </c>
      <c r="B7" s="7" t="s">
        <v>82</v>
      </c>
      <c r="C7" s="8" t="s">
        <v>204</v>
      </c>
      <c r="D7" s="7" t="s">
        <v>120</v>
      </c>
      <c r="E7" s="7" t="s">
        <v>175</v>
      </c>
      <c r="F7" s="8">
        <v>773</v>
      </c>
      <c r="G7" s="7" t="s">
        <v>221</v>
      </c>
      <c r="H7" s="7" t="s">
        <v>81</v>
      </c>
      <c r="I7" s="7" t="s">
        <v>167</v>
      </c>
      <c r="J7" s="9">
        <v>150</v>
      </c>
      <c r="K7" s="10">
        <v>43188</v>
      </c>
      <c r="L7" s="7" t="str">
        <f t="shared" si="0"/>
        <v>Thursday</v>
      </c>
      <c r="M7" s="7">
        <f t="shared" si="1"/>
        <v>2018</v>
      </c>
      <c r="N7" s="9">
        <v>387</v>
      </c>
      <c r="O7" s="12">
        <v>0.47916666666666669</v>
      </c>
    </row>
    <row r="8" spans="1:15" x14ac:dyDescent="0.3">
      <c r="A8" s="11" t="s">
        <v>179</v>
      </c>
      <c r="B8" s="7" t="s">
        <v>82</v>
      </c>
      <c r="C8" s="8">
        <v>867038371</v>
      </c>
      <c r="D8" s="7" t="s">
        <v>87</v>
      </c>
      <c r="E8" s="7" t="s">
        <v>173</v>
      </c>
      <c r="F8" s="8">
        <v>135</v>
      </c>
      <c r="G8" s="7" t="s">
        <v>172</v>
      </c>
      <c r="H8" s="7" t="s">
        <v>81</v>
      </c>
      <c r="I8" s="7" t="s">
        <v>167</v>
      </c>
      <c r="J8" s="9">
        <v>140</v>
      </c>
      <c r="K8" s="10">
        <v>43176</v>
      </c>
      <c r="L8" s="7" t="str">
        <f t="shared" si="0"/>
        <v>Saturday</v>
      </c>
      <c r="M8" s="7">
        <f t="shared" si="1"/>
        <v>2018</v>
      </c>
      <c r="N8" s="9">
        <v>400</v>
      </c>
      <c r="O8" s="12">
        <v>0.4826388888888889</v>
      </c>
    </row>
    <row r="9" spans="1:15" x14ac:dyDescent="0.3">
      <c r="A9" s="11" t="s">
        <v>180</v>
      </c>
      <c r="B9" s="7" t="s">
        <v>82</v>
      </c>
      <c r="C9" s="8">
        <v>673760051</v>
      </c>
      <c r="D9" s="7" t="s">
        <v>130</v>
      </c>
      <c r="E9" s="7" t="s">
        <v>204</v>
      </c>
      <c r="F9" s="8">
        <v>829</v>
      </c>
      <c r="G9" s="7" t="s">
        <v>171</v>
      </c>
      <c r="H9" s="7" t="s">
        <v>81</v>
      </c>
      <c r="I9" s="7" t="s">
        <v>168</v>
      </c>
      <c r="J9" s="9">
        <v>120</v>
      </c>
      <c r="K9" s="10">
        <v>43136</v>
      </c>
      <c r="L9" s="7" t="str">
        <f t="shared" si="0"/>
        <v>Monday</v>
      </c>
      <c r="M9" s="7">
        <f t="shared" si="1"/>
        <v>2018</v>
      </c>
      <c r="N9" s="9">
        <v>181</v>
      </c>
      <c r="O9" s="12">
        <v>0.4861111111111111</v>
      </c>
    </row>
    <row r="10" spans="1:15" x14ac:dyDescent="0.3">
      <c r="A10" s="11" t="s">
        <v>14</v>
      </c>
      <c r="B10" s="7" t="s">
        <v>82</v>
      </c>
      <c r="C10" s="8">
        <v>9671602033</v>
      </c>
      <c r="D10" s="7" t="s">
        <v>104</v>
      </c>
      <c r="E10" s="7" t="s">
        <v>175</v>
      </c>
      <c r="F10" s="8">
        <v>370</v>
      </c>
      <c r="G10" s="7" t="s">
        <v>221</v>
      </c>
      <c r="H10" s="7" t="s">
        <v>204</v>
      </c>
      <c r="I10" s="7" t="s">
        <v>167</v>
      </c>
      <c r="J10" s="9">
        <v>150</v>
      </c>
      <c r="K10" s="10">
        <v>43188</v>
      </c>
      <c r="L10" s="7" t="str">
        <f t="shared" si="0"/>
        <v>Thursday</v>
      </c>
      <c r="M10" s="7">
        <f t="shared" si="1"/>
        <v>2018</v>
      </c>
      <c r="N10" s="9">
        <v>500</v>
      </c>
      <c r="O10" s="12">
        <v>0.48958333333333331</v>
      </c>
    </row>
    <row r="11" spans="1:15" x14ac:dyDescent="0.3">
      <c r="A11" s="11" t="s">
        <v>181</v>
      </c>
      <c r="B11" s="7" t="s">
        <v>83</v>
      </c>
      <c r="C11" s="8">
        <v>777063935</v>
      </c>
      <c r="D11" s="7" t="s">
        <v>88</v>
      </c>
      <c r="E11" s="7" t="s">
        <v>174</v>
      </c>
      <c r="F11" s="8">
        <v>885</v>
      </c>
      <c r="G11" s="7" t="s">
        <v>172</v>
      </c>
      <c r="H11" s="7" t="s">
        <v>78</v>
      </c>
      <c r="I11" s="7" t="s">
        <v>167</v>
      </c>
      <c r="J11" s="9">
        <v>140</v>
      </c>
      <c r="K11" s="10">
        <v>43298</v>
      </c>
      <c r="L11" s="7" t="str">
        <f t="shared" si="0"/>
        <v>Tuesday</v>
      </c>
      <c r="M11" s="7">
        <f t="shared" si="1"/>
        <v>2018</v>
      </c>
      <c r="N11" s="9">
        <v>1600</v>
      </c>
      <c r="O11" s="12">
        <v>0.49305555555555558</v>
      </c>
    </row>
    <row r="12" spans="1:15" x14ac:dyDescent="0.3">
      <c r="A12" s="11" t="s">
        <v>15</v>
      </c>
      <c r="B12" s="7" t="s">
        <v>83</v>
      </c>
      <c r="C12" s="8">
        <v>9446055414</v>
      </c>
      <c r="D12" s="7" t="s">
        <v>208</v>
      </c>
      <c r="E12" s="7" t="s">
        <v>176</v>
      </c>
      <c r="F12" s="8">
        <v>480</v>
      </c>
      <c r="G12" s="7" t="s">
        <v>169</v>
      </c>
      <c r="H12" s="7" t="s">
        <v>79</v>
      </c>
      <c r="I12" s="7" t="s">
        <v>167</v>
      </c>
      <c r="J12" s="9">
        <v>200</v>
      </c>
      <c r="K12" s="10">
        <v>43446</v>
      </c>
      <c r="L12" s="7" t="str">
        <f t="shared" si="0"/>
        <v>Wednesday</v>
      </c>
      <c r="M12" s="7">
        <f t="shared" si="1"/>
        <v>2018</v>
      </c>
      <c r="N12" s="9">
        <v>500</v>
      </c>
      <c r="O12" s="12">
        <v>0.49652777777777773</v>
      </c>
    </row>
    <row r="13" spans="1:15" x14ac:dyDescent="0.3">
      <c r="A13" s="11" t="s">
        <v>16</v>
      </c>
      <c r="B13" s="7" t="s">
        <v>83</v>
      </c>
      <c r="C13" s="8">
        <v>6579979894</v>
      </c>
      <c r="D13" s="7" t="s">
        <v>105</v>
      </c>
      <c r="E13" s="7" t="s">
        <v>173</v>
      </c>
      <c r="F13" s="8">
        <v>942</v>
      </c>
      <c r="G13" s="7" t="s">
        <v>221</v>
      </c>
      <c r="H13" s="7" t="s">
        <v>80</v>
      </c>
      <c r="I13" s="7" t="s">
        <v>168</v>
      </c>
      <c r="J13" s="9">
        <v>150</v>
      </c>
      <c r="K13" s="10">
        <v>43413</v>
      </c>
      <c r="L13" s="7" t="str">
        <f t="shared" si="0"/>
        <v>Friday</v>
      </c>
      <c r="M13" s="7">
        <f t="shared" si="1"/>
        <v>2018</v>
      </c>
      <c r="N13" s="9">
        <v>600</v>
      </c>
      <c r="O13" s="12">
        <v>0.5</v>
      </c>
    </row>
    <row r="14" spans="1:15" x14ac:dyDescent="0.3">
      <c r="A14" s="11" t="s">
        <v>178</v>
      </c>
      <c r="B14" s="7" t="s">
        <v>83</v>
      </c>
      <c r="C14" s="8">
        <v>1032274597</v>
      </c>
      <c r="D14" s="7" t="s">
        <v>207</v>
      </c>
      <c r="E14" s="7" t="s">
        <v>174</v>
      </c>
      <c r="F14" s="8">
        <v>161</v>
      </c>
      <c r="G14" s="7" t="s">
        <v>172</v>
      </c>
      <c r="H14" s="7" t="s">
        <v>80</v>
      </c>
      <c r="I14" s="7" t="s">
        <v>168</v>
      </c>
      <c r="J14" s="9">
        <v>140</v>
      </c>
      <c r="K14" s="10">
        <v>43233</v>
      </c>
      <c r="L14" s="7" t="str">
        <f t="shared" si="0"/>
        <v>Sunday</v>
      </c>
      <c r="M14" s="7">
        <f t="shared" si="1"/>
        <v>2018</v>
      </c>
      <c r="N14" s="9">
        <v>267</v>
      </c>
      <c r="O14" s="12">
        <v>0.50347222222222221</v>
      </c>
    </row>
    <row r="15" spans="1:15" x14ac:dyDescent="0.3">
      <c r="A15" s="11" t="s">
        <v>17</v>
      </c>
      <c r="B15" s="7" t="s">
        <v>83</v>
      </c>
      <c r="C15" s="8">
        <v>7381285565</v>
      </c>
      <c r="D15" s="7" t="s">
        <v>89</v>
      </c>
      <c r="E15" s="7" t="s">
        <v>173</v>
      </c>
      <c r="F15" s="8">
        <v>486</v>
      </c>
      <c r="G15" s="7" t="s">
        <v>171</v>
      </c>
      <c r="H15" s="7" t="s">
        <v>79</v>
      </c>
      <c r="I15" s="7" t="s">
        <v>167</v>
      </c>
      <c r="J15" s="9">
        <v>120</v>
      </c>
      <c r="K15" s="10">
        <v>43379</v>
      </c>
      <c r="L15" s="7" t="str">
        <f t="shared" si="0"/>
        <v>Saturday</v>
      </c>
      <c r="M15" s="7">
        <f t="shared" si="1"/>
        <v>2018</v>
      </c>
      <c r="N15" s="9">
        <v>800</v>
      </c>
      <c r="O15" s="12">
        <v>0.50694444444444442</v>
      </c>
    </row>
    <row r="16" spans="1:15" x14ac:dyDescent="0.3">
      <c r="A16" s="11" t="s">
        <v>182</v>
      </c>
      <c r="B16" s="7" t="s">
        <v>82</v>
      </c>
      <c r="C16" s="8">
        <v>7034071342</v>
      </c>
      <c r="D16" s="7" t="s">
        <v>209</v>
      </c>
      <c r="E16" s="7" t="s">
        <v>176</v>
      </c>
      <c r="F16" s="8">
        <v>515</v>
      </c>
      <c r="G16" s="7" t="s">
        <v>169</v>
      </c>
      <c r="H16" s="7" t="s">
        <v>79</v>
      </c>
      <c r="I16" s="7" t="s">
        <v>167</v>
      </c>
      <c r="J16" s="9">
        <v>200</v>
      </c>
      <c r="K16" s="10">
        <v>43350</v>
      </c>
      <c r="L16" s="7" t="str">
        <f t="shared" si="0"/>
        <v>Friday</v>
      </c>
      <c r="M16" s="7">
        <f t="shared" si="1"/>
        <v>2018</v>
      </c>
      <c r="N16" s="9">
        <v>500</v>
      </c>
      <c r="O16" s="12">
        <v>0.51736111111111105</v>
      </c>
    </row>
    <row r="17" spans="1:15" x14ac:dyDescent="0.3">
      <c r="A17" s="11" t="s">
        <v>183</v>
      </c>
      <c r="B17" s="7" t="s">
        <v>82</v>
      </c>
      <c r="C17" s="8" t="s">
        <v>204</v>
      </c>
      <c r="D17" s="7" t="s">
        <v>106</v>
      </c>
      <c r="E17" s="7" t="s">
        <v>173</v>
      </c>
      <c r="F17" s="8">
        <v>295</v>
      </c>
      <c r="G17" s="7" t="s">
        <v>221</v>
      </c>
      <c r="H17" s="7" t="s">
        <v>81</v>
      </c>
      <c r="I17" s="7" t="s">
        <v>167</v>
      </c>
      <c r="J17" s="9">
        <v>150</v>
      </c>
      <c r="K17" s="10">
        <v>43289</v>
      </c>
      <c r="L17" s="7" t="str">
        <f t="shared" si="0"/>
        <v>Sunday</v>
      </c>
      <c r="M17" s="7">
        <f t="shared" si="1"/>
        <v>2018</v>
      </c>
      <c r="N17" s="9">
        <v>700</v>
      </c>
      <c r="O17" s="12">
        <v>0.52083333333333337</v>
      </c>
    </row>
    <row r="18" spans="1:15" x14ac:dyDescent="0.3">
      <c r="A18" s="11" t="s">
        <v>18</v>
      </c>
      <c r="B18" s="7" t="s">
        <v>82</v>
      </c>
      <c r="C18" s="8">
        <v>9716982309</v>
      </c>
      <c r="D18" s="7" t="s">
        <v>141</v>
      </c>
      <c r="E18" s="7" t="s">
        <v>174</v>
      </c>
      <c r="F18" s="8">
        <v>200</v>
      </c>
      <c r="G18" s="7" t="s">
        <v>169</v>
      </c>
      <c r="H18" s="7" t="s">
        <v>81</v>
      </c>
      <c r="I18" s="7" t="s">
        <v>167</v>
      </c>
      <c r="J18" s="9">
        <v>200</v>
      </c>
      <c r="K18" s="10">
        <v>43161</v>
      </c>
      <c r="L18" s="7" t="str">
        <f t="shared" si="0"/>
        <v>Friday</v>
      </c>
      <c r="M18" s="7">
        <f t="shared" si="1"/>
        <v>2018</v>
      </c>
      <c r="N18" s="9">
        <v>1600</v>
      </c>
      <c r="O18" s="12">
        <v>0.52430555555555558</v>
      </c>
    </row>
    <row r="19" spans="1:15" x14ac:dyDescent="0.3">
      <c r="A19" s="11" t="s">
        <v>19</v>
      </c>
      <c r="B19" s="7" t="s">
        <v>82</v>
      </c>
      <c r="C19" s="8">
        <v>7722885079</v>
      </c>
      <c r="D19" s="7" t="s">
        <v>121</v>
      </c>
      <c r="E19" s="7" t="s">
        <v>176</v>
      </c>
      <c r="F19" s="8">
        <v>326</v>
      </c>
      <c r="G19" s="7" t="s">
        <v>171</v>
      </c>
      <c r="H19" s="7" t="s">
        <v>204</v>
      </c>
      <c r="I19" s="7" t="s">
        <v>168</v>
      </c>
      <c r="J19" s="9">
        <v>120</v>
      </c>
      <c r="K19" s="10">
        <v>43234</v>
      </c>
      <c r="L19" s="7" t="str">
        <f t="shared" si="0"/>
        <v>Monday</v>
      </c>
      <c r="M19" s="7">
        <f t="shared" si="1"/>
        <v>2018</v>
      </c>
      <c r="N19" s="9">
        <v>1600</v>
      </c>
      <c r="O19" s="12">
        <v>0.52777777777777779</v>
      </c>
    </row>
    <row r="20" spans="1:15" x14ac:dyDescent="0.3">
      <c r="A20" s="11" t="s">
        <v>184</v>
      </c>
      <c r="B20" s="7" t="s">
        <v>82</v>
      </c>
      <c r="C20" s="8">
        <v>3708983713</v>
      </c>
      <c r="D20" s="7" t="s">
        <v>90</v>
      </c>
      <c r="E20" s="7" t="s">
        <v>173</v>
      </c>
      <c r="F20" s="8">
        <v>482</v>
      </c>
      <c r="G20" s="7" t="s">
        <v>172</v>
      </c>
      <c r="H20" s="7" t="s">
        <v>78</v>
      </c>
      <c r="I20" s="7" t="s">
        <v>168</v>
      </c>
      <c r="J20" s="9">
        <v>140</v>
      </c>
      <c r="K20" s="10">
        <v>43185</v>
      </c>
      <c r="L20" s="7" t="str">
        <f t="shared" si="0"/>
        <v>Monday</v>
      </c>
      <c r="M20" s="7">
        <f t="shared" si="1"/>
        <v>2018</v>
      </c>
      <c r="N20" s="9">
        <v>1000</v>
      </c>
      <c r="O20" s="12">
        <v>0.53125</v>
      </c>
    </row>
    <row r="21" spans="1:15" x14ac:dyDescent="0.3">
      <c r="A21" s="11" t="s">
        <v>20</v>
      </c>
      <c r="B21" s="7" t="s">
        <v>82</v>
      </c>
      <c r="C21" s="8">
        <v>1369353147</v>
      </c>
      <c r="D21" s="7" t="s">
        <v>142</v>
      </c>
      <c r="E21" s="7" t="s">
        <v>174</v>
      </c>
      <c r="F21" s="8">
        <v>503</v>
      </c>
      <c r="G21" s="7" t="s">
        <v>169</v>
      </c>
      <c r="H21" s="7" t="s">
        <v>81</v>
      </c>
      <c r="I21" s="7" t="s">
        <v>167</v>
      </c>
      <c r="J21" s="9">
        <v>200</v>
      </c>
      <c r="K21" s="10">
        <v>43318</v>
      </c>
      <c r="L21" s="7" t="str">
        <f t="shared" si="0"/>
        <v>Monday</v>
      </c>
      <c r="M21" s="7">
        <f t="shared" si="1"/>
        <v>2018</v>
      </c>
      <c r="N21" s="9">
        <v>1600</v>
      </c>
      <c r="O21" s="12">
        <v>0.53472222222222221</v>
      </c>
    </row>
    <row r="22" spans="1:15" x14ac:dyDescent="0.3">
      <c r="A22" s="11" t="s">
        <v>21</v>
      </c>
      <c r="B22" s="7" t="s">
        <v>83</v>
      </c>
      <c r="C22" s="8">
        <v>1985722057</v>
      </c>
      <c r="D22" s="7" t="s">
        <v>91</v>
      </c>
      <c r="E22" s="7" t="s">
        <v>175</v>
      </c>
      <c r="F22" s="8">
        <v>779</v>
      </c>
      <c r="G22" s="7" t="s">
        <v>221</v>
      </c>
      <c r="H22" s="7" t="s">
        <v>79</v>
      </c>
      <c r="I22" s="7" t="s">
        <v>167</v>
      </c>
      <c r="J22" s="9">
        <v>150</v>
      </c>
      <c r="K22" s="10">
        <v>43267</v>
      </c>
      <c r="L22" s="7" t="str">
        <f t="shared" si="0"/>
        <v>Saturday</v>
      </c>
      <c r="M22" s="7">
        <f t="shared" si="1"/>
        <v>2018</v>
      </c>
      <c r="N22" s="9">
        <v>1100</v>
      </c>
      <c r="O22" s="12">
        <v>0.53819444444444442</v>
      </c>
    </row>
    <row r="23" spans="1:15" x14ac:dyDescent="0.3">
      <c r="A23" s="11" t="s">
        <v>22</v>
      </c>
      <c r="B23" s="7" t="s">
        <v>82</v>
      </c>
      <c r="C23" s="8">
        <v>7761526376</v>
      </c>
      <c r="D23" s="7" t="s">
        <v>140</v>
      </c>
      <c r="E23" s="7" t="s">
        <v>173</v>
      </c>
      <c r="F23" s="8">
        <v>965</v>
      </c>
      <c r="G23" s="7" t="s">
        <v>172</v>
      </c>
      <c r="H23" s="7" t="s">
        <v>80</v>
      </c>
      <c r="I23" s="7" t="s">
        <v>167</v>
      </c>
      <c r="J23" s="9">
        <v>140</v>
      </c>
      <c r="K23" s="10">
        <v>43158</v>
      </c>
      <c r="L23" s="7" t="str">
        <f t="shared" si="0"/>
        <v>Tuesday</v>
      </c>
      <c r="M23" s="7">
        <f t="shared" si="1"/>
        <v>2018</v>
      </c>
      <c r="N23" s="9">
        <v>1600</v>
      </c>
      <c r="O23" s="12">
        <v>0.54166666666666663</v>
      </c>
    </row>
    <row r="24" spans="1:15" x14ac:dyDescent="0.3">
      <c r="A24" s="11" t="s">
        <v>23</v>
      </c>
      <c r="B24" s="7" t="s">
        <v>83</v>
      </c>
      <c r="C24" s="8" t="s">
        <v>204</v>
      </c>
      <c r="D24" s="7" t="s">
        <v>210</v>
      </c>
      <c r="E24" s="7" t="s">
        <v>174</v>
      </c>
      <c r="F24" s="8">
        <v>396</v>
      </c>
      <c r="G24" s="7" t="s">
        <v>171</v>
      </c>
      <c r="H24" s="7" t="s">
        <v>78</v>
      </c>
      <c r="I24" s="7" t="s">
        <v>168</v>
      </c>
      <c r="J24" s="9">
        <v>120</v>
      </c>
      <c r="K24" s="10">
        <v>43322</v>
      </c>
      <c r="L24" s="7" t="str">
        <f t="shared" si="0"/>
        <v>Friday</v>
      </c>
      <c r="M24" s="7">
        <f t="shared" si="1"/>
        <v>2018</v>
      </c>
      <c r="N24" s="9">
        <v>1600</v>
      </c>
      <c r="O24" s="12">
        <v>0.54513888888888895</v>
      </c>
    </row>
    <row r="25" spans="1:15" x14ac:dyDescent="0.3">
      <c r="A25" s="11" t="s">
        <v>185</v>
      </c>
      <c r="B25" s="7" t="s">
        <v>83</v>
      </c>
      <c r="C25" s="8">
        <v>4840789619</v>
      </c>
      <c r="D25" s="7" t="s">
        <v>92</v>
      </c>
      <c r="E25" s="7" t="s">
        <v>176</v>
      </c>
      <c r="F25" s="8">
        <v>672</v>
      </c>
      <c r="G25" s="7" t="s">
        <v>169</v>
      </c>
      <c r="H25" s="7" t="s">
        <v>204</v>
      </c>
      <c r="I25" s="7" t="s">
        <v>167</v>
      </c>
      <c r="J25" s="9">
        <v>200</v>
      </c>
      <c r="K25" s="10">
        <v>43189</v>
      </c>
      <c r="L25" s="7" t="str">
        <f t="shared" si="0"/>
        <v>Friday</v>
      </c>
      <c r="M25" s="7">
        <f t="shared" si="1"/>
        <v>2018</v>
      </c>
      <c r="N25" s="9">
        <v>1000</v>
      </c>
      <c r="O25" s="12">
        <v>0.54861111111111105</v>
      </c>
    </row>
    <row r="26" spans="1:15" x14ac:dyDescent="0.3">
      <c r="A26" s="11" t="s">
        <v>24</v>
      </c>
      <c r="B26" s="7" t="s">
        <v>83</v>
      </c>
      <c r="C26" s="8">
        <v>5568969570</v>
      </c>
      <c r="D26" s="7" t="s">
        <v>139</v>
      </c>
      <c r="E26" s="7" t="s">
        <v>174</v>
      </c>
      <c r="F26" s="8">
        <v>281</v>
      </c>
      <c r="G26" s="7" t="s">
        <v>172</v>
      </c>
      <c r="H26" s="7" t="s">
        <v>78</v>
      </c>
      <c r="I26" s="7" t="s">
        <v>168</v>
      </c>
      <c r="J26" s="9">
        <v>140</v>
      </c>
      <c r="K26" s="10">
        <v>43300</v>
      </c>
      <c r="L26" s="7" t="str">
        <f t="shared" si="0"/>
        <v>Thursday</v>
      </c>
      <c r="M26" s="7">
        <f t="shared" si="1"/>
        <v>2018</v>
      </c>
      <c r="N26" s="9">
        <v>1600</v>
      </c>
      <c r="O26" s="12">
        <v>0.55208333333333337</v>
      </c>
    </row>
    <row r="27" spans="1:15" x14ac:dyDescent="0.3">
      <c r="A27" s="11" t="s">
        <v>39</v>
      </c>
      <c r="B27" s="7" t="s">
        <v>82</v>
      </c>
      <c r="C27" s="8">
        <v>7280083086</v>
      </c>
      <c r="D27" s="7" t="s">
        <v>137</v>
      </c>
      <c r="E27" s="7" t="s">
        <v>174</v>
      </c>
      <c r="F27" s="8">
        <v>150</v>
      </c>
      <c r="G27" s="7" t="s">
        <v>172</v>
      </c>
      <c r="H27" s="7" t="s">
        <v>80</v>
      </c>
      <c r="I27" s="7" t="s">
        <v>167</v>
      </c>
      <c r="J27" s="9">
        <v>140</v>
      </c>
      <c r="K27" s="10">
        <v>43739</v>
      </c>
      <c r="L27" s="7" t="str">
        <f t="shared" si="0"/>
        <v>Tuesday</v>
      </c>
      <c r="M27" s="7">
        <f t="shared" si="1"/>
        <v>2019</v>
      </c>
      <c r="N27" s="9">
        <v>1600</v>
      </c>
      <c r="O27" s="12">
        <v>0.63194444444444442</v>
      </c>
    </row>
    <row r="28" spans="1:15" x14ac:dyDescent="0.3">
      <c r="A28" s="11" t="s">
        <v>186</v>
      </c>
      <c r="B28" s="7" t="s">
        <v>83</v>
      </c>
      <c r="C28" s="8">
        <v>1491564415</v>
      </c>
      <c r="D28" s="7" t="s">
        <v>118</v>
      </c>
      <c r="E28" s="7" t="s">
        <v>176</v>
      </c>
      <c r="F28" s="8">
        <v>935</v>
      </c>
      <c r="G28" s="7" t="s">
        <v>171</v>
      </c>
      <c r="H28" s="7" t="s">
        <v>79</v>
      </c>
      <c r="I28" s="7" t="s">
        <v>168</v>
      </c>
      <c r="J28" s="9">
        <v>120</v>
      </c>
      <c r="K28" s="10">
        <v>43650</v>
      </c>
      <c r="L28" s="7" t="str">
        <f t="shared" si="0"/>
        <v>Thursday</v>
      </c>
      <c r="M28" s="7">
        <f t="shared" si="1"/>
        <v>2019</v>
      </c>
      <c r="N28" s="9">
        <v>1100</v>
      </c>
      <c r="O28" s="12">
        <v>0.63541666666666663</v>
      </c>
    </row>
    <row r="29" spans="1:15" x14ac:dyDescent="0.3">
      <c r="A29" s="11" t="s">
        <v>187</v>
      </c>
      <c r="B29" s="7" t="s">
        <v>82</v>
      </c>
      <c r="C29" s="8" t="s">
        <v>204</v>
      </c>
      <c r="D29" s="7" t="s">
        <v>93</v>
      </c>
      <c r="E29" s="7" t="s">
        <v>176</v>
      </c>
      <c r="F29" s="8">
        <v>186</v>
      </c>
      <c r="G29" s="7" t="s">
        <v>169</v>
      </c>
      <c r="H29" s="7" t="s">
        <v>81</v>
      </c>
      <c r="I29" s="7" t="s">
        <v>167</v>
      </c>
      <c r="J29" s="9">
        <v>200</v>
      </c>
      <c r="K29" s="10">
        <v>43455</v>
      </c>
      <c r="L29" s="7" t="str">
        <f t="shared" si="0"/>
        <v>Friday</v>
      </c>
      <c r="M29" s="7">
        <f t="shared" si="1"/>
        <v>2018</v>
      </c>
      <c r="N29" s="9">
        <v>600</v>
      </c>
      <c r="O29" s="12">
        <v>0.56597222222222221</v>
      </c>
    </row>
    <row r="30" spans="1:15" x14ac:dyDescent="0.3">
      <c r="A30" s="11" t="s">
        <v>25</v>
      </c>
      <c r="B30" s="7" t="s">
        <v>83</v>
      </c>
      <c r="C30" s="8">
        <v>5705396215</v>
      </c>
      <c r="D30" s="7" t="s">
        <v>211</v>
      </c>
      <c r="E30" s="7" t="s">
        <v>173</v>
      </c>
      <c r="F30" s="8">
        <v>799</v>
      </c>
      <c r="G30" s="7" t="s">
        <v>221</v>
      </c>
      <c r="H30" s="7" t="s">
        <v>81</v>
      </c>
      <c r="I30" s="7" t="s">
        <v>168</v>
      </c>
      <c r="J30" s="9">
        <v>150</v>
      </c>
      <c r="K30" s="10">
        <v>43256</v>
      </c>
      <c r="L30" s="7" t="str">
        <f t="shared" si="0"/>
        <v>Tuesday</v>
      </c>
      <c r="M30" s="7">
        <f t="shared" si="1"/>
        <v>2018</v>
      </c>
      <c r="N30" s="9">
        <v>600</v>
      </c>
      <c r="O30" s="12">
        <v>0.56944444444444442</v>
      </c>
    </row>
    <row r="31" spans="1:15" x14ac:dyDescent="0.3">
      <c r="A31" s="11" t="s">
        <v>188</v>
      </c>
      <c r="B31" s="7" t="s">
        <v>82</v>
      </c>
      <c r="C31" s="8">
        <v>6868577122</v>
      </c>
      <c r="D31" s="7" t="s">
        <v>108</v>
      </c>
      <c r="E31" s="7" t="s">
        <v>173</v>
      </c>
      <c r="F31" s="8">
        <v>865</v>
      </c>
      <c r="G31" s="7" t="s">
        <v>172</v>
      </c>
      <c r="H31" s="7" t="s">
        <v>78</v>
      </c>
      <c r="I31" s="7" t="s">
        <v>167</v>
      </c>
      <c r="J31" s="9">
        <v>140</v>
      </c>
      <c r="K31" s="10">
        <v>43151</v>
      </c>
      <c r="L31" s="7" t="str">
        <f t="shared" si="0"/>
        <v>Tuesday</v>
      </c>
      <c r="M31" s="7">
        <f t="shared" si="1"/>
        <v>2018</v>
      </c>
      <c r="N31" s="9">
        <v>700</v>
      </c>
      <c r="O31" s="12">
        <v>0.57291666666666663</v>
      </c>
    </row>
    <row r="32" spans="1:15" x14ac:dyDescent="0.3">
      <c r="A32" s="11" t="s">
        <v>26</v>
      </c>
      <c r="B32" s="7" t="s">
        <v>82</v>
      </c>
      <c r="C32" s="8">
        <v>2850723051</v>
      </c>
      <c r="D32" s="7" t="s">
        <v>143</v>
      </c>
      <c r="E32" s="7" t="s">
        <v>174</v>
      </c>
      <c r="F32" s="8">
        <v>469</v>
      </c>
      <c r="G32" s="7" t="s">
        <v>171</v>
      </c>
      <c r="H32" s="7" t="s">
        <v>81</v>
      </c>
      <c r="I32" s="7" t="s">
        <v>168</v>
      </c>
      <c r="J32" s="9">
        <v>120</v>
      </c>
      <c r="K32" s="10">
        <v>43166</v>
      </c>
      <c r="L32" s="7" t="str">
        <f t="shared" si="0"/>
        <v>Wednesday</v>
      </c>
      <c r="M32" s="7">
        <f t="shared" si="1"/>
        <v>2018</v>
      </c>
      <c r="N32" s="9">
        <v>400</v>
      </c>
      <c r="O32" s="12">
        <v>0.57638888888888895</v>
      </c>
    </row>
    <row r="33" spans="1:15" x14ac:dyDescent="0.3">
      <c r="A33" s="11" t="s">
        <v>189</v>
      </c>
      <c r="B33" s="7" t="s">
        <v>82</v>
      </c>
      <c r="C33" s="8">
        <v>5064106912</v>
      </c>
      <c r="D33" s="7" t="s">
        <v>122</v>
      </c>
      <c r="E33" s="7" t="s">
        <v>176</v>
      </c>
      <c r="F33" s="8">
        <v>607</v>
      </c>
      <c r="G33" s="7" t="s">
        <v>221</v>
      </c>
      <c r="H33" s="7" t="s">
        <v>79</v>
      </c>
      <c r="I33" s="7" t="s">
        <v>168</v>
      </c>
      <c r="J33" s="9">
        <v>150</v>
      </c>
      <c r="K33" s="10">
        <v>43197</v>
      </c>
      <c r="L33" s="7" t="str">
        <f t="shared" si="0"/>
        <v>Saturday</v>
      </c>
      <c r="M33" s="7">
        <f t="shared" si="1"/>
        <v>2018</v>
      </c>
      <c r="N33" s="9">
        <v>370</v>
      </c>
      <c r="O33" s="12">
        <v>0.57986111111111105</v>
      </c>
    </row>
    <row r="34" spans="1:15" x14ac:dyDescent="0.3">
      <c r="A34" s="11" t="s">
        <v>27</v>
      </c>
      <c r="B34" s="7" t="s">
        <v>83</v>
      </c>
      <c r="C34" s="8">
        <v>3227769230</v>
      </c>
      <c r="D34" s="7" t="s">
        <v>94</v>
      </c>
      <c r="E34" s="7" t="s">
        <v>174</v>
      </c>
      <c r="F34" s="8">
        <v>950</v>
      </c>
      <c r="G34" s="7" t="s">
        <v>172</v>
      </c>
      <c r="H34" s="7" t="s">
        <v>81</v>
      </c>
      <c r="I34" s="7" t="s">
        <v>167</v>
      </c>
      <c r="J34" s="9">
        <v>140</v>
      </c>
      <c r="K34" s="10">
        <v>43756</v>
      </c>
      <c r="L34" s="7" t="str">
        <f t="shared" si="0"/>
        <v>Friday</v>
      </c>
      <c r="M34" s="7">
        <f t="shared" si="1"/>
        <v>2019</v>
      </c>
      <c r="N34" s="9">
        <v>400</v>
      </c>
      <c r="O34" s="12">
        <v>0.58333333333333337</v>
      </c>
    </row>
    <row r="35" spans="1:15" x14ac:dyDescent="0.3">
      <c r="A35" s="11" t="s">
        <v>28</v>
      </c>
      <c r="B35" s="7" t="s">
        <v>82</v>
      </c>
      <c r="C35" s="8">
        <v>4489137965</v>
      </c>
      <c r="D35" s="7" t="s">
        <v>163</v>
      </c>
      <c r="E35" s="7" t="s">
        <v>173</v>
      </c>
      <c r="F35" s="8">
        <v>353</v>
      </c>
      <c r="G35" s="7" t="s">
        <v>169</v>
      </c>
      <c r="H35" s="7" t="s">
        <v>80</v>
      </c>
      <c r="I35" s="7" t="s">
        <v>167</v>
      </c>
      <c r="J35" s="9">
        <v>200</v>
      </c>
      <c r="K35" s="10">
        <v>43490</v>
      </c>
      <c r="L35" s="7" t="str">
        <f t="shared" si="0"/>
        <v>Friday</v>
      </c>
      <c r="M35" s="7">
        <f t="shared" si="1"/>
        <v>2019</v>
      </c>
      <c r="N35" s="9">
        <v>180</v>
      </c>
      <c r="O35" s="12">
        <v>0.58680555555555558</v>
      </c>
    </row>
    <row r="36" spans="1:15" x14ac:dyDescent="0.3">
      <c r="A36" s="11" t="s">
        <v>29</v>
      </c>
      <c r="B36" s="7" t="s">
        <v>83</v>
      </c>
      <c r="C36" s="8">
        <v>1442788630</v>
      </c>
      <c r="D36" s="7" t="s">
        <v>107</v>
      </c>
      <c r="E36" s="7" t="s">
        <v>174</v>
      </c>
      <c r="F36" s="8">
        <v>651</v>
      </c>
      <c r="G36" s="7" t="s">
        <v>221</v>
      </c>
      <c r="H36" s="7" t="s">
        <v>79</v>
      </c>
      <c r="I36" s="7" t="s">
        <v>167</v>
      </c>
      <c r="J36" s="9">
        <v>150</v>
      </c>
      <c r="K36" s="10">
        <v>43653</v>
      </c>
      <c r="L36" s="7" t="str">
        <f t="shared" si="0"/>
        <v>Sunday</v>
      </c>
      <c r="M36" s="7">
        <f t="shared" si="1"/>
        <v>2019</v>
      </c>
      <c r="N36" s="9">
        <v>500</v>
      </c>
      <c r="O36" s="12">
        <v>0.59027777777777779</v>
      </c>
    </row>
    <row r="37" spans="1:15" x14ac:dyDescent="0.3">
      <c r="A37" s="11" t="s">
        <v>190</v>
      </c>
      <c r="B37" s="7" t="s">
        <v>82</v>
      </c>
      <c r="C37" s="8">
        <v>6660155844</v>
      </c>
      <c r="D37" s="7" t="s">
        <v>164</v>
      </c>
      <c r="E37" s="7" t="s">
        <v>176</v>
      </c>
      <c r="F37" s="8">
        <v>486</v>
      </c>
      <c r="G37" s="7" t="s">
        <v>171</v>
      </c>
      <c r="H37" s="7" t="s">
        <v>78</v>
      </c>
      <c r="I37" s="7" t="s">
        <v>167</v>
      </c>
      <c r="J37" s="9">
        <v>120</v>
      </c>
      <c r="K37" s="10">
        <v>43621</v>
      </c>
      <c r="L37" s="7" t="str">
        <f t="shared" si="0"/>
        <v>Wednesday</v>
      </c>
      <c r="M37" s="7">
        <f t="shared" si="1"/>
        <v>2019</v>
      </c>
      <c r="N37" s="9">
        <v>1600</v>
      </c>
      <c r="O37" s="12">
        <v>0.59375</v>
      </c>
    </row>
    <row r="38" spans="1:15" x14ac:dyDescent="0.3">
      <c r="A38" s="11" t="s">
        <v>30</v>
      </c>
      <c r="B38" s="7" t="s">
        <v>83</v>
      </c>
      <c r="C38" s="8">
        <v>3847031717</v>
      </c>
      <c r="D38" s="7" t="s">
        <v>138</v>
      </c>
      <c r="E38" s="7" t="s">
        <v>174</v>
      </c>
      <c r="F38" s="8">
        <v>226</v>
      </c>
      <c r="G38" s="7" t="s">
        <v>169</v>
      </c>
      <c r="H38" s="7" t="s">
        <v>81</v>
      </c>
      <c r="I38" s="7" t="s">
        <v>168</v>
      </c>
      <c r="J38" s="9">
        <v>200</v>
      </c>
      <c r="K38" s="10">
        <v>43482</v>
      </c>
      <c r="L38" s="7" t="str">
        <f t="shared" si="0"/>
        <v>Thursday</v>
      </c>
      <c r="M38" s="7">
        <f t="shared" si="1"/>
        <v>2019</v>
      </c>
      <c r="N38" s="9">
        <v>500</v>
      </c>
      <c r="O38" s="12">
        <v>0.59722222222222221</v>
      </c>
    </row>
    <row r="39" spans="1:15" x14ac:dyDescent="0.3">
      <c r="A39" s="11" t="s">
        <v>31</v>
      </c>
      <c r="B39" s="7" t="s">
        <v>83</v>
      </c>
      <c r="C39" s="8">
        <v>7230743292</v>
      </c>
      <c r="D39" s="7" t="s">
        <v>119</v>
      </c>
      <c r="E39" s="7" t="s">
        <v>204</v>
      </c>
      <c r="F39" s="8">
        <v>195</v>
      </c>
      <c r="G39" s="7" t="s">
        <v>221</v>
      </c>
      <c r="H39" s="7" t="s">
        <v>81</v>
      </c>
      <c r="I39" s="7" t="s">
        <v>168</v>
      </c>
      <c r="J39" s="9">
        <v>150</v>
      </c>
      <c r="K39" s="10">
        <v>43467</v>
      </c>
      <c r="L39" s="7" t="str">
        <f t="shared" si="0"/>
        <v>Wednesday</v>
      </c>
      <c r="M39" s="7">
        <f t="shared" si="1"/>
        <v>2019</v>
      </c>
      <c r="N39" s="9">
        <v>600</v>
      </c>
      <c r="O39" s="12">
        <v>0.60416666666666663</v>
      </c>
    </row>
    <row r="40" spans="1:15" x14ac:dyDescent="0.3">
      <c r="A40" s="11" t="s">
        <v>32</v>
      </c>
      <c r="B40" s="7" t="s">
        <v>83</v>
      </c>
      <c r="C40" s="8">
        <v>2674814446</v>
      </c>
      <c r="D40" s="7" t="s">
        <v>165</v>
      </c>
      <c r="E40" s="7" t="s">
        <v>175</v>
      </c>
      <c r="F40" s="8">
        <v>429</v>
      </c>
      <c r="G40" s="7" t="s">
        <v>172</v>
      </c>
      <c r="H40" s="7" t="s">
        <v>78</v>
      </c>
      <c r="I40" s="7" t="s">
        <v>167</v>
      </c>
      <c r="J40" s="9">
        <v>140</v>
      </c>
      <c r="K40" s="10">
        <v>43795</v>
      </c>
      <c r="L40" s="7" t="str">
        <f t="shared" si="0"/>
        <v>Tuesday</v>
      </c>
      <c r="M40" s="7">
        <f t="shared" si="1"/>
        <v>2019</v>
      </c>
      <c r="N40" s="9">
        <v>270</v>
      </c>
      <c r="O40" s="12">
        <v>0.60763888888888895</v>
      </c>
    </row>
    <row r="41" spans="1:15" x14ac:dyDescent="0.3">
      <c r="A41" s="11" t="s">
        <v>33</v>
      </c>
      <c r="B41" s="7" t="s">
        <v>83</v>
      </c>
      <c r="C41" s="8">
        <v>3617529102</v>
      </c>
      <c r="D41" s="7" t="s">
        <v>212</v>
      </c>
      <c r="E41" s="7" t="s">
        <v>174</v>
      </c>
      <c r="F41" s="8">
        <v>299</v>
      </c>
      <c r="G41" s="7" t="s">
        <v>171</v>
      </c>
      <c r="H41" s="7" t="s">
        <v>79</v>
      </c>
      <c r="I41" s="7" t="s">
        <v>168</v>
      </c>
      <c r="J41" s="9">
        <v>120</v>
      </c>
      <c r="K41" s="10">
        <v>43507</v>
      </c>
      <c r="L41" s="7" t="str">
        <f t="shared" si="0"/>
        <v>Monday</v>
      </c>
      <c r="M41" s="7">
        <f t="shared" si="1"/>
        <v>2019</v>
      </c>
      <c r="N41" s="9">
        <v>800</v>
      </c>
      <c r="O41" s="12">
        <v>0.61111111111111105</v>
      </c>
    </row>
    <row r="42" spans="1:15" x14ac:dyDescent="0.3">
      <c r="A42" s="11" t="s">
        <v>34</v>
      </c>
      <c r="B42" s="7" t="s">
        <v>83</v>
      </c>
      <c r="C42" s="8">
        <v>9811710783</v>
      </c>
      <c r="D42" s="7" t="s">
        <v>109</v>
      </c>
      <c r="E42" s="7" t="s">
        <v>176</v>
      </c>
      <c r="F42" s="8">
        <v>218</v>
      </c>
      <c r="G42" s="7" t="s">
        <v>221</v>
      </c>
      <c r="H42" s="7" t="s">
        <v>81</v>
      </c>
      <c r="I42" s="7" t="s">
        <v>167</v>
      </c>
      <c r="J42" s="9">
        <v>150</v>
      </c>
      <c r="K42" s="10">
        <v>43570</v>
      </c>
      <c r="L42" s="7" t="str">
        <f t="shared" si="0"/>
        <v>Monday</v>
      </c>
      <c r="M42" s="7">
        <f t="shared" si="1"/>
        <v>2019</v>
      </c>
      <c r="N42" s="9">
        <v>500</v>
      </c>
      <c r="O42" s="12">
        <v>0.61458333333333337</v>
      </c>
    </row>
    <row r="43" spans="1:15" x14ac:dyDescent="0.3">
      <c r="A43" s="11" t="s">
        <v>35</v>
      </c>
      <c r="B43" s="7" t="s">
        <v>83</v>
      </c>
      <c r="C43" s="8">
        <v>1484055936</v>
      </c>
      <c r="D43" s="7" t="s">
        <v>160</v>
      </c>
      <c r="E43" s="7" t="s">
        <v>173</v>
      </c>
      <c r="F43" s="8">
        <v>5</v>
      </c>
      <c r="G43" s="7" t="s">
        <v>171</v>
      </c>
      <c r="H43" s="7" t="s">
        <v>78</v>
      </c>
      <c r="I43" s="7" t="s">
        <v>167</v>
      </c>
      <c r="J43" s="9">
        <v>120</v>
      </c>
      <c r="K43" s="10">
        <v>43543</v>
      </c>
      <c r="L43" s="7" t="str">
        <f t="shared" si="0"/>
        <v>Tuesday</v>
      </c>
      <c r="M43" s="7">
        <f t="shared" si="1"/>
        <v>2019</v>
      </c>
      <c r="N43" s="9">
        <v>700</v>
      </c>
      <c r="O43" s="12">
        <v>0.61805555555555558</v>
      </c>
    </row>
    <row r="44" spans="1:15" x14ac:dyDescent="0.3">
      <c r="A44" s="11" t="s">
        <v>36</v>
      </c>
      <c r="B44" s="7" t="s">
        <v>82</v>
      </c>
      <c r="C44" s="8">
        <v>1818430323</v>
      </c>
      <c r="D44" s="7" t="s">
        <v>161</v>
      </c>
      <c r="E44" s="7" t="s">
        <v>174</v>
      </c>
      <c r="F44" s="8">
        <v>64</v>
      </c>
      <c r="G44" s="7" t="s">
        <v>172</v>
      </c>
      <c r="H44" s="7" t="s">
        <v>79</v>
      </c>
      <c r="I44" s="7" t="s">
        <v>167</v>
      </c>
      <c r="J44" s="9">
        <v>140</v>
      </c>
      <c r="K44" s="10">
        <v>43579</v>
      </c>
      <c r="L44" s="7" t="str">
        <f t="shared" si="0"/>
        <v>Wednesday</v>
      </c>
      <c r="M44" s="7">
        <f t="shared" si="1"/>
        <v>2019</v>
      </c>
      <c r="N44" s="9">
        <v>1600</v>
      </c>
      <c r="O44" s="12">
        <v>0.62152777777777779</v>
      </c>
    </row>
    <row r="45" spans="1:15" x14ac:dyDescent="0.3">
      <c r="A45" s="11" t="s">
        <v>37</v>
      </c>
      <c r="B45" s="7" t="s">
        <v>82</v>
      </c>
      <c r="C45" s="8">
        <v>2753885103</v>
      </c>
      <c r="D45" s="7" t="s">
        <v>129</v>
      </c>
      <c r="E45" s="7" t="s">
        <v>173</v>
      </c>
      <c r="F45" s="8">
        <v>294</v>
      </c>
      <c r="G45" s="7" t="s">
        <v>169</v>
      </c>
      <c r="H45" s="7" t="s">
        <v>78</v>
      </c>
      <c r="I45" s="7" t="s">
        <v>168</v>
      </c>
      <c r="J45" s="9">
        <v>200</v>
      </c>
      <c r="K45" s="10">
        <v>43656</v>
      </c>
      <c r="L45" s="7" t="str">
        <f t="shared" si="0"/>
        <v>Wednesday</v>
      </c>
      <c r="M45" s="7">
        <f t="shared" si="1"/>
        <v>2019</v>
      </c>
      <c r="N45" s="9">
        <v>1600</v>
      </c>
      <c r="O45" s="12">
        <v>0.625</v>
      </c>
    </row>
    <row r="46" spans="1:15" x14ac:dyDescent="0.3">
      <c r="A46" s="11" t="s">
        <v>38</v>
      </c>
      <c r="B46" s="7" t="s">
        <v>83</v>
      </c>
      <c r="C46" s="8">
        <v>3430744725</v>
      </c>
      <c r="D46" s="7" t="s">
        <v>162</v>
      </c>
      <c r="E46" s="7" t="s">
        <v>175</v>
      </c>
      <c r="F46" s="8">
        <v>616</v>
      </c>
      <c r="G46" s="7" t="s">
        <v>221</v>
      </c>
      <c r="H46" s="7" t="s">
        <v>81</v>
      </c>
      <c r="I46" s="7" t="s">
        <v>168</v>
      </c>
      <c r="J46" s="9">
        <v>150</v>
      </c>
      <c r="K46" s="10">
        <v>43731</v>
      </c>
      <c r="L46" s="7" t="str">
        <f t="shared" si="0"/>
        <v>Monday</v>
      </c>
      <c r="M46" s="7">
        <f t="shared" si="1"/>
        <v>2019</v>
      </c>
      <c r="N46" s="9">
        <v>1000</v>
      </c>
      <c r="O46" s="12">
        <v>0.62847222222222221</v>
      </c>
    </row>
    <row r="47" spans="1:15" x14ac:dyDescent="0.3">
      <c r="A47" s="11" t="s">
        <v>39</v>
      </c>
      <c r="B47" s="7" t="s">
        <v>82</v>
      </c>
      <c r="C47" s="8">
        <v>7280083086</v>
      </c>
      <c r="D47" s="7" t="s">
        <v>137</v>
      </c>
      <c r="E47" s="7" t="s">
        <v>174</v>
      </c>
      <c r="F47" s="8">
        <v>150</v>
      </c>
      <c r="G47" s="7" t="s">
        <v>172</v>
      </c>
      <c r="H47" s="7" t="s">
        <v>80</v>
      </c>
      <c r="I47" s="7" t="s">
        <v>167</v>
      </c>
      <c r="J47" s="9">
        <v>140</v>
      </c>
      <c r="K47" s="10">
        <v>43739</v>
      </c>
      <c r="L47" s="7" t="str">
        <f t="shared" si="0"/>
        <v>Tuesday</v>
      </c>
      <c r="M47" s="7">
        <f t="shared" si="1"/>
        <v>2019</v>
      </c>
      <c r="N47" s="9">
        <v>1600</v>
      </c>
      <c r="O47" s="12">
        <v>0.63194444444444442</v>
      </c>
    </row>
    <row r="48" spans="1:15" x14ac:dyDescent="0.3">
      <c r="A48" s="11" t="s">
        <v>186</v>
      </c>
      <c r="B48" s="7" t="s">
        <v>83</v>
      </c>
      <c r="C48" s="8">
        <v>1491564415</v>
      </c>
      <c r="D48" s="7" t="s">
        <v>118</v>
      </c>
      <c r="E48" s="7" t="s">
        <v>176</v>
      </c>
      <c r="F48" s="8">
        <v>935</v>
      </c>
      <c r="G48" s="7" t="s">
        <v>171</v>
      </c>
      <c r="H48" s="7" t="s">
        <v>79</v>
      </c>
      <c r="I48" s="7" t="s">
        <v>168</v>
      </c>
      <c r="J48" s="9">
        <v>120</v>
      </c>
      <c r="K48" s="10">
        <v>43650</v>
      </c>
      <c r="L48" s="7" t="str">
        <f t="shared" si="0"/>
        <v>Thursday</v>
      </c>
      <c r="M48" s="7">
        <f t="shared" si="1"/>
        <v>2019</v>
      </c>
      <c r="N48" s="9">
        <v>1100</v>
      </c>
      <c r="O48" s="12">
        <v>0.63541666666666663</v>
      </c>
    </row>
    <row r="49" spans="1:15" x14ac:dyDescent="0.3">
      <c r="A49" s="11" t="s">
        <v>40</v>
      </c>
      <c r="B49" s="7" t="s">
        <v>82</v>
      </c>
      <c r="C49" s="8">
        <v>2975727463</v>
      </c>
      <c r="D49" s="7" t="s">
        <v>159</v>
      </c>
      <c r="E49" s="7" t="s">
        <v>173</v>
      </c>
      <c r="F49" s="8">
        <v>725</v>
      </c>
      <c r="G49" s="7" t="s">
        <v>221</v>
      </c>
      <c r="H49" s="7" t="s">
        <v>81</v>
      </c>
      <c r="I49" s="7" t="s">
        <v>167</v>
      </c>
      <c r="J49" s="9">
        <v>150</v>
      </c>
      <c r="K49" s="10">
        <v>43607</v>
      </c>
      <c r="L49" s="7" t="str">
        <f t="shared" si="0"/>
        <v>Wednesday</v>
      </c>
      <c r="M49" s="7">
        <f t="shared" si="1"/>
        <v>2019</v>
      </c>
      <c r="N49" s="9">
        <v>700</v>
      </c>
      <c r="O49" s="12">
        <v>0.63888888888888895</v>
      </c>
    </row>
    <row r="50" spans="1:15" x14ac:dyDescent="0.3">
      <c r="A50" s="11" t="s">
        <v>41</v>
      </c>
      <c r="B50" s="7" t="s">
        <v>83</v>
      </c>
      <c r="C50" s="8">
        <v>6230180832</v>
      </c>
      <c r="D50" s="7" t="s">
        <v>127</v>
      </c>
      <c r="E50" s="7" t="s">
        <v>173</v>
      </c>
      <c r="F50" s="8">
        <v>420</v>
      </c>
      <c r="G50" s="7" t="s">
        <v>171</v>
      </c>
      <c r="H50" s="7" t="s">
        <v>78</v>
      </c>
      <c r="I50" s="7" t="s">
        <v>167</v>
      </c>
      <c r="J50" s="9">
        <v>120</v>
      </c>
      <c r="K50" s="10">
        <v>43578</v>
      </c>
      <c r="L50" s="7" t="str">
        <f t="shared" si="0"/>
        <v>Tuesday</v>
      </c>
      <c r="M50" s="7">
        <f t="shared" si="1"/>
        <v>2019</v>
      </c>
      <c r="N50" s="9">
        <v>600</v>
      </c>
      <c r="O50" s="12">
        <v>0.64236111111111105</v>
      </c>
    </row>
    <row r="51" spans="1:15" x14ac:dyDescent="0.3">
      <c r="A51" s="11" t="s">
        <v>191</v>
      </c>
      <c r="B51" s="7" t="s">
        <v>82</v>
      </c>
      <c r="C51" s="8">
        <v>2654741588</v>
      </c>
      <c r="D51" s="7" t="s">
        <v>115</v>
      </c>
      <c r="E51" s="7" t="s">
        <v>176</v>
      </c>
      <c r="F51" s="8">
        <v>977</v>
      </c>
      <c r="G51" s="7" t="s">
        <v>169</v>
      </c>
      <c r="H51" s="7" t="s">
        <v>79</v>
      </c>
      <c r="I51" s="7" t="s">
        <v>167</v>
      </c>
      <c r="J51" s="9">
        <v>200</v>
      </c>
      <c r="K51" s="10">
        <v>43589</v>
      </c>
      <c r="L51" s="7" t="str">
        <f t="shared" si="0"/>
        <v>Saturday</v>
      </c>
      <c r="M51" s="7">
        <f t="shared" si="1"/>
        <v>2019</v>
      </c>
      <c r="N51" s="9">
        <v>600</v>
      </c>
      <c r="O51" s="12">
        <v>0.64583333333333337</v>
      </c>
    </row>
    <row r="52" spans="1:15" x14ac:dyDescent="0.3">
      <c r="A52" s="11" t="s">
        <v>42</v>
      </c>
      <c r="B52" s="7" t="s">
        <v>82</v>
      </c>
      <c r="C52" s="8">
        <v>5403352518</v>
      </c>
      <c r="D52" s="7" t="s">
        <v>156</v>
      </c>
      <c r="E52" s="7" t="s">
        <v>174</v>
      </c>
      <c r="F52" s="8">
        <v>756</v>
      </c>
      <c r="G52" s="7" t="s">
        <v>169</v>
      </c>
      <c r="H52" s="7" t="s">
        <v>80</v>
      </c>
      <c r="I52" s="7" t="s">
        <v>168</v>
      </c>
      <c r="J52" s="9">
        <v>200</v>
      </c>
      <c r="K52" s="10">
        <v>43499</v>
      </c>
      <c r="L52" s="7" t="str">
        <f t="shared" si="0"/>
        <v>Sunday</v>
      </c>
      <c r="M52" s="7">
        <f t="shared" si="1"/>
        <v>2019</v>
      </c>
      <c r="N52" s="9">
        <v>700</v>
      </c>
      <c r="O52" s="12">
        <v>0.64930555555555558</v>
      </c>
    </row>
    <row r="53" spans="1:15" x14ac:dyDescent="0.3">
      <c r="A53" s="11" t="s">
        <v>43</v>
      </c>
      <c r="B53" s="7" t="s">
        <v>83</v>
      </c>
      <c r="C53" s="8">
        <v>4120111920</v>
      </c>
      <c r="D53" s="7" t="s">
        <v>157</v>
      </c>
      <c r="E53" s="7" t="s">
        <v>174</v>
      </c>
      <c r="F53" s="8">
        <v>336</v>
      </c>
      <c r="G53" s="7" t="s">
        <v>169</v>
      </c>
      <c r="H53" s="7" t="s">
        <v>78</v>
      </c>
      <c r="I53" s="7" t="s">
        <v>167</v>
      </c>
      <c r="J53" s="9">
        <v>200</v>
      </c>
      <c r="K53" s="10">
        <v>43574</v>
      </c>
      <c r="L53" s="7" t="str">
        <f t="shared" si="0"/>
        <v>Friday</v>
      </c>
      <c r="M53" s="7">
        <f t="shared" si="1"/>
        <v>2019</v>
      </c>
      <c r="N53" s="9">
        <v>400</v>
      </c>
      <c r="O53" s="12">
        <v>0.65277777777777779</v>
      </c>
    </row>
    <row r="54" spans="1:15" x14ac:dyDescent="0.3">
      <c r="A54" s="11" t="s">
        <v>44</v>
      </c>
      <c r="B54" s="7" t="s">
        <v>83</v>
      </c>
      <c r="C54" s="8">
        <v>6546090759</v>
      </c>
      <c r="D54" s="7" t="s">
        <v>136</v>
      </c>
      <c r="E54" s="7" t="s">
        <v>174</v>
      </c>
      <c r="F54" s="8">
        <v>568</v>
      </c>
      <c r="G54" s="7" t="s">
        <v>172</v>
      </c>
      <c r="H54" s="7" t="s">
        <v>79</v>
      </c>
      <c r="I54" s="7" t="s">
        <v>167</v>
      </c>
      <c r="J54" s="9">
        <v>140</v>
      </c>
      <c r="K54" s="10">
        <v>43768</v>
      </c>
      <c r="L54" s="7" t="str">
        <f t="shared" si="0"/>
        <v>Wednesday</v>
      </c>
      <c r="M54" s="7">
        <f t="shared" si="1"/>
        <v>2019</v>
      </c>
      <c r="N54" s="9">
        <v>370</v>
      </c>
      <c r="O54" s="12">
        <v>0.65625</v>
      </c>
    </row>
    <row r="55" spans="1:15" x14ac:dyDescent="0.3">
      <c r="A55" s="11" t="s">
        <v>192</v>
      </c>
      <c r="B55" s="7" t="s">
        <v>82</v>
      </c>
      <c r="C55" s="8" t="s">
        <v>204</v>
      </c>
      <c r="D55" s="7" t="s">
        <v>101</v>
      </c>
      <c r="E55" s="7" t="s">
        <v>174</v>
      </c>
      <c r="F55" s="8">
        <v>445</v>
      </c>
      <c r="G55" s="7" t="s">
        <v>169</v>
      </c>
      <c r="H55" s="7" t="s">
        <v>81</v>
      </c>
      <c r="I55" s="7" t="s">
        <v>167</v>
      </c>
      <c r="J55" s="9">
        <v>200</v>
      </c>
      <c r="K55" s="10">
        <v>43514</v>
      </c>
      <c r="L55" s="7" t="str">
        <f t="shared" si="0"/>
        <v>Monday</v>
      </c>
      <c r="M55" s="7">
        <f t="shared" si="1"/>
        <v>2019</v>
      </c>
      <c r="N55" s="9">
        <v>400</v>
      </c>
      <c r="O55" s="12">
        <v>0.65972222222222221</v>
      </c>
    </row>
    <row r="56" spans="1:15" x14ac:dyDescent="0.3">
      <c r="A56" s="11" t="s">
        <v>45</v>
      </c>
      <c r="B56" s="7" t="s">
        <v>83</v>
      </c>
      <c r="C56" s="8">
        <v>4026015466</v>
      </c>
      <c r="D56" s="7" t="s">
        <v>158</v>
      </c>
      <c r="E56" s="7" t="s">
        <v>204</v>
      </c>
      <c r="F56" s="8">
        <v>184</v>
      </c>
      <c r="G56" s="7" t="s">
        <v>221</v>
      </c>
      <c r="H56" s="7" t="s">
        <v>78</v>
      </c>
      <c r="I56" s="7" t="s">
        <v>167</v>
      </c>
      <c r="J56" s="9">
        <v>150</v>
      </c>
      <c r="K56" s="10">
        <v>43811</v>
      </c>
      <c r="L56" s="7" t="str">
        <f t="shared" si="0"/>
        <v>Thursday</v>
      </c>
      <c r="M56" s="7">
        <f t="shared" si="1"/>
        <v>2019</v>
      </c>
      <c r="N56" s="9">
        <v>180</v>
      </c>
      <c r="O56" s="12">
        <v>0.66319444444444442</v>
      </c>
    </row>
    <row r="57" spans="1:15" x14ac:dyDescent="0.3">
      <c r="A57" s="11" t="s">
        <v>193</v>
      </c>
      <c r="B57" s="7" t="s">
        <v>82</v>
      </c>
      <c r="C57" s="8">
        <v>8436835499</v>
      </c>
      <c r="D57" s="7" t="s">
        <v>128</v>
      </c>
      <c r="E57" s="7" t="s">
        <v>173</v>
      </c>
      <c r="F57" s="8">
        <v>647</v>
      </c>
      <c r="G57" s="7" t="s">
        <v>172</v>
      </c>
      <c r="H57" s="7" t="s">
        <v>204</v>
      </c>
      <c r="I57" s="7" t="s">
        <v>168</v>
      </c>
      <c r="J57" s="9">
        <v>140</v>
      </c>
      <c r="K57" s="10">
        <v>43606</v>
      </c>
      <c r="L57" s="7" t="str">
        <f t="shared" si="0"/>
        <v>Tuesday</v>
      </c>
      <c r="M57" s="7">
        <f t="shared" si="1"/>
        <v>2019</v>
      </c>
      <c r="N57" s="9">
        <v>500</v>
      </c>
      <c r="O57" s="12">
        <v>0.66666666666666663</v>
      </c>
    </row>
    <row r="58" spans="1:15" x14ac:dyDescent="0.3">
      <c r="A58" s="11" t="s">
        <v>46</v>
      </c>
      <c r="B58" s="7" t="s">
        <v>83</v>
      </c>
      <c r="C58" s="8">
        <v>6341451283</v>
      </c>
      <c r="D58" s="7" t="s">
        <v>114</v>
      </c>
      <c r="E58" s="7" t="s">
        <v>174</v>
      </c>
      <c r="F58" s="8">
        <v>480</v>
      </c>
      <c r="G58" s="7" t="s">
        <v>171</v>
      </c>
      <c r="H58" s="7" t="s">
        <v>204</v>
      </c>
      <c r="I58" s="7" t="s">
        <v>168</v>
      </c>
      <c r="J58" s="9">
        <v>120</v>
      </c>
      <c r="K58" s="10">
        <v>43747</v>
      </c>
      <c r="L58" s="7" t="str">
        <f t="shared" si="0"/>
        <v>Wednesday</v>
      </c>
      <c r="M58" s="7">
        <f t="shared" si="1"/>
        <v>2019</v>
      </c>
      <c r="N58" s="9">
        <v>1600</v>
      </c>
      <c r="O58" s="12">
        <v>0.67013888888888884</v>
      </c>
    </row>
    <row r="59" spans="1:15" x14ac:dyDescent="0.3">
      <c r="A59" s="11" t="s">
        <v>194</v>
      </c>
      <c r="B59" s="7" t="s">
        <v>82</v>
      </c>
      <c r="C59" s="8">
        <v>4975372521</v>
      </c>
      <c r="D59" s="7" t="s">
        <v>213</v>
      </c>
      <c r="E59" s="7" t="s">
        <v>174</v>
      </c>
      <c r="F59" s="8">
        <v>22</v>
      </c>
      <c r="G59" s="7" t="s">
        <v>221</v>
      </c>
      <c r="H59" s="7" t="s">
        <v>78</v>
      </c>
      <c r="I59" s="7" t="s">
        <v>168</v>
      </c>
      <c r="J59" s="9">
        <v>150</v>
      </c>
      <c r="K59" s="10">
        <v>43573</v>
      </c>
      <c r="L59" s="7" t="str">
        <f t="shared" si="0"/>
        <v>Thursday</v>
      </c>
      <c r="M59" s="7">
        <f t="shared" si="1"/>
        <v>2019</v>
      </c>
      <c r="N59" s="9">
        <v>500</v>
      </c>
      <c r="O59" s="12">
        <v>0.67361111111111116</v>
      </c>
    </row>
    <row r="60" spans="1:15" x14ac:dyDescent="0.3">
      <c r="A60" s="11" t="s">
        <v>47</v>
      </c>
      <c r="B60" s="7" t="s">
        <v>82</v>
      </c>
      <c r="C60" s="8">
        <v>8011161364</v>
      </c>
      <c r="D60" s="7" t="s">
        <v>117</v>
      </c>
      <c r="E60" s="7" t="s">
        <v>176</v>
      </c>
      <c r="F60" s="8">
        <v>418</v>
      </c>
      <c r="G60" s="7" t="s">
        <v>221</v>
      </c>
      <c r="H60" s="7" t="s">
        <v>79</v>
      </c>
      <c r="I60" s="7" t="s">
        <v>167</v>
      </c>
      <c r="J60" s="9">
        <v>120</v>
      </c>
      <c r="K60" s="10">
        <v>43598</v>
      </c>
      <c r="L60" s="7" t="str">
        <f t="shared" si="0"/>
        <v>Monday</v>
      </c>
      <c r="M60" s="7">
        <f t="shared" si="1"/>
        <v>2019</v>
      </c>
      <c r="N60" s="9">
        <v>600</v>
      </c>
      <c r="O60" s="12">
        <v>0.67708333333333337</v>
      </c>
    </row>
    <row r="61" spans="1:15" x14ac:dyDescent="0.3">
      <c r="A61" s="11" t="s">
        <v>48</v>
      </c>
      <c r="B61" s="7" t="s">
        <v>82</v>
      </c>
      <c r="C61" s="8">
        <v>9022585743</v>
      </c>
      <c r="D61" s="7" t="s">
        <v>153</v>
      </c>
      <c r="E61" s="7" t="s">
        <v>173</v>
      </c>
      <c r="F61" s="8">
        <v>247</v>
      </c>
      <c r="G61" s="7" t="s">
        <v>171</v>
      </c>
      <c r="H61" s="7" t="s">
        <v>80</v>
      </c>
      <c r="I61" s="7" t="s">
        <v>168</v>
      </c>
      <c r="J61" s="9">
        <v>120</v>
      </c>
      <c r="K61" s="10">
        <v>43547</v>
      </c>
      <c r="L61" s="7" t="str">
        <f t="shared" si="0"/>
        <v>Saturday</v>
      </c>
      <c r="M61" s="7">
        <f t="shared" si="1"/>
        <v>2019</v>
      </c>
      <c r="N61" s="9">
        <v>270</v>
      </c>
      <c r="O61" s="12">
        <v>0.68055555555555547</v>
      </c>
    </row>
    <row r="62" spans="1:15" x14ac:dyDescent="0.3">
      <c r="A62" s="11" t="s">
        <v>195</v>
      </c>
      <c r="B62" s="7" t="s">
        <v>83</v>
      </c>
      <c r="C62" s="8">
        <v>7167092174</v>
      </c>
      <c r="D62" s="7" t="s">
        <v>102</v>
      </c>
      <c r="E62" s="7" t="s">
        <v>174</v>
      </c>
      <c r="F62" s="8">
        <v>872</v>
      </c>
      <c r="G62" s="7" t="s">
        <v>221</v>
      </c>
      <c r="H62" s="7" t="s">
        <v>78</v>
      </c>
      <c r="I62" s="7" t="s">
        <v>167</v>
      </c>
      <c r="J62" s="9">
        <v>150</v>
      </c>
      <c r="K62" s="10">
        <v>43768</v>
      </c>
      <c r="L62" s="7" t="str">
        <f t="shared" si="0"/>
        <v>Wednesday</v>
      </c>
      <c r="M62" s="7">
        <f t="shared" si="1"/>
        <v>2019</v>
      </c>
      <c r="N62" s="9">
        <v>800</v>
      </c>
      <c r="O62" s="12">
        <v>0.68402777777777779</v>
      </c>
    </row>
    <row r="63" spans="1:15" x14ac:dyDescent="0.3">
      <c r="A63" s="11" t="s">
        <v>49</v>
      </c>
      <c r="B63" s="7" t="s">
        <v>83</v>
      </c>
      <c r="C63" s="8" t="s">
        <v>204</v>
      </c>
      <c r="D63" s="7" t="s">
        <v>154</v>
      </c>
      <c r="E63" s="7" t="s">
        <v>175</v>
      </c>
      <c r="F63" s="8">
        <v>129</v>
      </c>
      <c r="G63" s="7" t="s">
        <v>221</v>
      </c>
      <c r="H63" s="7" t="s">
        <v>79</v>
      </c>
      <c r="I63" s="7" t="s">
        <v>167</v>
      </c>
      <c r="J63" s="9">
        <v>150</v>
      </c>
      <c r="K63" s="10">
        <v>43601</v>
      </c>
      <c r="L63" s="7" t="str">
        <f t="shared" si="0"/>
        <v>Thursday</v>
      </c>
      <c r="M63" s="7">
        <f t="shared" si="1"/>
        <v>2019</v>
      </c>
      <c r="N63" s="9">
        <v>500</v>
      </c>
      <c r="O63" s="12">
        <v>0.6875</v>
      </c>
    </row>
    <row r="64" spans="1:15" x14ac:dyDescent="0.3">
      <c r="A64" s="11" t="s">
        <v>50</v>
      </c>
      <c r="B64" s="7" t="s">
        <v>83</v>
      </c>
      <c r="C64" s="8">
        <v>6314589112</v>
      </c>
      <c r="D64" s="7" t="s">
        <v>123</v>
      </c>
      <c r="E64" s="7" t="s">
        <v>174</v>
      </c>
      <c r="F64" s="8">
        <v>798</v>
      </c>
      <c r="G64" s="7" t="s">
        <v>221</v>
      </c>
      <c r="H64" s="7" t="s">
        <v>80</v>
      </c>
      <c r="I64" s="7" t="s">
        <v>167</v>
      </c>
      <c r="J64" s="9">
        <v>150</v>
      </c>
      <c r="K64" s="10">
        <v>43757</v>
      </c>
      <c r="L64" s="7" t="str">
        <f t="shared" si="0"/>
        <v>Saturday</v>
      </c>
      <c r="M64" s="7">
        <f t="shared" si="1"/>
        <v>2019</v>
      </c>
      <c r="N64" s="9">
        <v>700</v>
      </c>
      <c r="O64" s="12">
        <v>0.69444444444444453</v>
      </c>
    </row>
    <row r="65" spans="1:15" x14ac:dyDescent="0.3">
      <c r="A65" s="11" t="s">
        <v>51</v>
      </c>
      <c r="B65" s="7" t="s">
        <v>82</v>
      </c>
      <c r="C65" s="8">
        <v>44902911</v>
      </c>
      <c r="D65" s="7" t="s">
        <v>155</v>
      </c>
      <c r="E65" s="7" t="s">
        <v>173</v>
      </c>
      <c r="F65" s="8">
        <v>14</v>
      </c>
      <c r="G65" s="7" t="s">
        <v>171</v>
      </c>
      <c r="H65" s="7" t="s">
        <v>78</v>
      </c>
      <c r="I65" s="7" t="s">
        <v>167</v>
      </c>
      <c r="J65" s="9">
        <v>120</v>
      </c>
      <c r="K65" s="10">
        <v>43715</v>
      </c>
      <c r="L65" s="7" t="str">
        <f t="shared" si="0"/>
        <v>Saturday</v>
      </c>
      <c r="M65" s="7">
        <f t="shared" si="1"/>
        <v>2019</v>
      </c>
      <c r="N65" s="9">
        <v>1600</v>
      </c>
      <c r="O65" s="12">
        <v>0.69791666666666663</v>
      </c>
    </row>
    <row r="66" spans="1:15" x14ac:dyDescent="0.3">
      <c r="A66" s="11" t="s">
        <v>52</v>
      </c>
      <c r="B66" s="7" t="s">
        <v>82</v>
      </c>
      <c r="C66" s="8">
        <v>961674446</v>
      </c>
      <c r="D66" s="7" t="s">
        <v>214</v>
      </c>
      <c r="E66" s="7" t="s">
        <v>176</v>
      </c>
      <c r="F66" s="8">
        <v>462</v>
      </c>
      <c r="G66" s="7" t="s">
        <v>169</v>
      </c>
      <c r="H66" s="7" t="s">
        <v>81</v>
      </c>
      <c r="I66" s="7" t="s">
        <v>168</v>
      </c>
      <c r="J66" s="9">
        <v>200</v>
      </c>
      <c r="K66" s="10">
        <v>43816</v>
      </c>
      <c r="L66" s="7" t="str">
        <f t="shared" si="0"/>
        <v>Tuesday</v>
      </c>
      <c r="M66" s="7">
        <f t="shared" si="1"/>
        <v>2019</v>
      </c>
      <c r="N66" s="9">
        <v>1600</v>
      </c>
      <c r="O66" s="12">
        <v>0.70138888888888884</v>
      </c>
    </row>
    <row r="67" spans="1:15" x14ac:dyDescent="0.3">
      <c r="A67" s="11" t="s">
        <v>196</v>
      </c>
      <c r="B67" s="7" t="s">
        <v>83</v>
      </c>
      <c r="C67" s="8">
        <v>3276125790</v>
      </c>
      <c r="D67" s="7" t="s">
        <v>113</v>
      </c>
      <c r="E67" s="7" t="s">
        <v>173</v>
      </c>
      <c r="F67" s="8">
        <v>952</v>
      </c>
      <c r="G67" s="7" t="s">
        <v>221</v>
      </c>
      <c r="H67" s="7" t="s">
        <v>78</v>
      </c>
      <c r="I67" s="7" t="s">
        <v>167</v>
      </c>
      <c r="J67" s="9">
        <v>150</v>
      </c>
      <c r="K67" s="10">
        <v>43586</v>
      </c>
      <c r="L67" s="7" t="str">
        <f t="shared" ref="L67:L101" si="2">TEXT(K67,"dddd")</f>
        <v>Wednesday</v>
      </c>
      <c r="M67" s="7">
        <f t="shared" ref="M67:M101" si="3">YEAR(K67)</f>
        <v>2019</v>
      </c>
      <c r="N67" s="9">
        <v>1000</v>
      </c>
      <c r="O67" s="12">
        <v>0.70486111111111116</v>
      </c>
    </row>
    <row r="68" spans="1:15" x14ac:dyDescent="0.3">
      <c r="A68" s="11" t="s">
        <v>53</v>
      </c>
      <c r="B68" s="7" t="s">
        <v>82</v>
      </c>
      <c r="C68" s="8">
        <v>9807488372</v>
      </c>
      <c r="D68" s="7" t="s">
        <v>152</v>
      </c>
      <c r="E68" s="7" t="s">
        <v>174</v>
      </c>
      <c r="F68" s="8">
        <v>341</v>
      </c>
      <c r="G68" s="7" t="s">
        <v>172</v>
      </c>
      <c r="H68" s="7" t="s">
        <v>204</v>
      </c>
      <c r="I68" s="7" t="s">
        <v>168</v>
      </c>
      <c r="J68" s="9">
        <v>140</v>
      </c>
      <c r="K68" s="10">
        <v>43568</v>
      </c>
      <c r="L68" s="7" t="str">
        <f t="shared" si="2"/>
        <v>Saturday</v>
      </c>
      <c r="M68" s="7">
        <f t="shared" si="3"/>
        <v>2019</v>
      </c>
      <c r="N68" s="9">
        <v>1600</v>
      </c>
      <c r="O68" s="12">
        <v>0.70833333333333337</v>
      </c>
    </row>
    <row r="69" spans="1:15" x14ac:dyDescent="0.3">
      <c r="A69" s="11" t="s">
        <v>54</v>
      </c>
      <c r="B69" s="7" t="s">
        <v>82</v>
      </c>
      <c r="C69" s="8">
        <v>3965379219</v>
      </c>
      <c r="D69" s="7" t="s">
        <v>124</v>
      </c>
      <c r="E69" s="7" t="s">
        <v>176</v>
      </c>
      <c r="F69" s="8">
        <v>908</v>
      </c>
      <c r="G69" s="7" t="s">
        <v>171</v>
      </c>
      <c r="H69" s="7" t="s">
        <v>79</v>
      </c>
      <c r="I69" s="7" t="s">
        <v>167</v>
      </c>
      <c r="J69" s="9">
        <v>120</v>
      </c>
      <c r="K69" s="10">
        <v>43643</v>
      </c>
      <c r="L69" s="7" t="str">
        <f t="shared" si="2"/>
        <v>Thursday</v>
      </c>
      <c r="M69" s="7">
        <f t="shared" si="3"/>
        <v>2019</v>
      </c>
      <c r="N69" s="9">
        <v>1100</v>
      </c>
      <c r="O69" s="12">
        <v>0.71180555555555547</v>
      </c>
    </row>
    <row r="70" spans="1:15" x14ac:dyDescent="0.3">
      <c r="A70" s="11" t="s">
        <v>197</v>
      </c>
      <c r="B70" s="7" t="s">
        <v>82</v>
      </c>
      <c r="C70" s="8">
        <v>2087336366</v>
      </c>
      <c r="D70" s="7" t="s">
        <v>116</v>
      </c>
      <c r="E70" s="7" t="s">
        <v>173</v>
      </c>
      <c r="F70" s="8">
        <v>57</v>
      </c>
      <c r="G70" s="7" t="s">
        <v>221</v>
      </c>
      <c r="H70" s="7" t="s">
        <v>78</v>
      </c>
      <c r="I70" s="7" t="s">
        <v>168</v>
      </c>
      <c r="J70" s="9">
        <v>150</v>
      </c>
      <c r="K70" s="10">
        <v>43620</v>
      </c>
      <c r="L70" s="7" t="str">
        <f t="shared" si="2"/>
        <v>Tuesday</v>
      </c>
      <c r="M70" s="7">
        <f t="shared" si="3"/>
        <v>2019</v>
      </c>
      <c r="N70" s="9">
        <v>700</v>
      </c>
      <c r="O70" s="12">
        <v>0.71527777777777779</v>
      </c>
    </row>
    <row r="71" spans="1:15" x14ac:dyDescent="0.3">
      <c r="A71" s="11" t="s">
        <v>55</v>
      </c>
      <c r="B71" s="7" t="s">
        <v>83</v>
      </c>
      <c r="C71" s="8">
        <v>1421179061</v>
      </c>
      <c r="D71" s="7" t="s">
        <v>150</v>
      </c>
      <c r="E71" s="7" t="s">
        <v>175</v>
      </c>
      <c r="F71" s="8">
        <v>68</v>
      </c>
      <c r="G71" s="7" t="s">
        <v>169</v>
      </c>
      <c r="H71" s="7" t="s">
        <v>78</v>
      </c>
      <c r="I71" s="7" t="s">
        <v>167</v>
      </c>
      <c r="J71" s="9">
        <v>200</v>
      </c>
      <c r="K71" s="10">
        <v>43972</v>
      </c>
      <c r="L71" s="7" t="str">
        <f t="shared" si="2"/>
        <v>Thursday</v>
      </c>
      <c r="M71" s="7">
        <f t="shared" si="3"/>
        <v>2020</v>
      </c>
      <c r="N71" s="9">
        <v>600</v>
      </c>
      <c r="O71" s="12">
        <v>0.71875</v>
      </c>
    </row>
    <row r="72" spans="1:15" x14ac:dyDescent="0.3">
      <c r="A72" s="11" t="s">
        <v>56</v>
      </c>
      <c r="B72" s="7" t="s">
        <v>82</v>
      </c>
      <c r="C72" s="8">
        <v>7855543695</v>
      </c>
      <c r="D72" s="7" t="s">
        <v>98</v>
      </c>
      <c r="E72" s="7" t="s">
        <v>176</v>
      </c>
      <c r="F72" s="8">
        <v>829</v>
      </c>
      <c r="G72" s="7" t="s">
        <v>221</v>
      </c>
      <c r="H72" s="7" t="s">
        <v>78</v>
      </c>
      <c r="I72" s="7" t="s">
        <v>168</v>
      </c>
      <c r="J72" s="9">
        <v>150</v>
      </c>
      <c r="K72" s="10">
        <v>44141</v>
      </c>
      <c r="L72" s="7" t="str">
        <f t="shared" si="2"/>
        <v>Friday</v>
      </c>
      <c r="M72" s="7">
        <f t="shared" si="3"/>
        <v>2020</v>
      </c>
      <c r="N72" s="9">
        <v>600</v>
      </c>
      <c r="O72" s="12">
        <v>0.72222222222222221</v>
      </c>
    </row>
    <row r="73" spans="1:15" x14ac:dyDescent="0.3">
      <c r="A73" s="11" t="s">
        <v>57</v>
      </c>
      <c r="B73" s="7" t="s">
        <v>83</v>
      </c>
      <c r="C73" s="8" t="s">
        <v>204</v>
      </c>
      <c r="D73" s="7" t="s">
        <v>135</v>
      </c>
      <c r="E73" s="7" t="s">
        <v>173</v>
      </c>
      <c r="F73" s="8">
        <v>80</v>
      </c>
      <c r="G73" s="7" t="s">
        <v>172</v>
      </c>
      <c r="H73" s="7" t="s">
        <v>78</v>
      </c>
      <c r="I73" s="7" t="s">
        <v>167</v>
      </c>
      <c r="J73" s="9">
        <v>140</v>
      </c>
      <c r="K73" s="10">
        <v>44155</v>
      </c>
      <c r="L73" s="7" t="str">
        <f t="shared" si="2"/>
        <v>Friday</v>
      </c>
      <c r="M73" s="7">
        <f t="shared" si="3"/>
        <v>2020</v>
      </c>
      <c r="N73" s="9">
        <v>700</v>
      </c>
      <c r="O73" s="12">
        <v>0.72569444444444453</v>
      </c>
    </row>
    <row r="74" spans="1:15" x14ac:dyDescent="0.3">
      <c r="A74" s="11" t="s">
        <v>58</v>
      </c>
      <c r="B74" s="7" t="s">
        <v>82</v>
      </c>
      <c r="C74" s="8">
        <v>1851286862</v>
      </c>
      <c r="D74" s="7" t="s">
        <v>126</v>
      </c>
      <c r="E74" s="7" t="s">
        <v>176</v>
      </c>
      <c r="F74" s="8">
        <v>493</v>
      </c>
      <c r="G74" s="7" t="s">
        <v>171</v>
      </c>
      <c r="H74" s="7" t="s">
        <v>79</v>
      </c>
      <c r="I74" s="7" t="s">
        <v>168</v>
      </c>
      <c r="J74" s="9">
        <v>120</v>
      </c>
      <c r="K74" s="10">
        <v>44114</v>
      </c>
      <c r="L74" s="7" t="str">
        <f t="shared" si="2"/>
        <v>Saturday</v>
      </c>
      <c r="M74" s="7">
        <f t="shared" si="3"/>
        <v>2020</v>
      </c>
      <c r="N74" s="9">
        <v>400</v>
      </c>
      <c r="O74" s="12">
        <v>0.72916666666666663</v>
      </c>
    </row>
    <row r="75" spans="1:15" x14ac:dyDescent="0.3">
      <c r="A75" s="11" t="s">
        <v>59</v>
      </c>
      <c r="B75" s="7" t="s">
        <v>83</v>
      </c>
      <c r="C75" s="8">
        <v>7478269060</v>
      </c>
      <c r="D75" s="7" t="s">
        <v>149</v>
      </c>
      <c r="E75" s="7" t="s">
        <v>173</v>
      </c>
      <c r="F75" s="8">
        <v>511</v>
      </c>
      <c r="G75" s="7" t="s">
        <v>221</v>
      </c>
      <c r="H75" s="7" t="s">
        <v>81</v>
      </c>
      <c r="I75" s="7" t="s">
        <v>167</v>
      </c>
      <c r="J75" s="9">
        <v>150</v>
      </c>
      <c r="K75" s="10">
        <v>44108</v>
      </c>
      <c r="L75" s="7" t="str">
        <f t="shared" si="2"/>
        <v>Sunday</v>
      </c>
      <c r="M75" s="7">
        <f t="shared" si="3"/>
        <v>2020</v>
      </c>
      <c r="N75" s="9">
        <v>370</v>
      </c>
      <c r="O75" s="12">
        <v>0.73263888888888884</v>
      </c>
    </row>
    <row r="76" spans="1:15" x14ac:dyDescent="0.3">
      <c r="A76" s="11" t="s">
        <v>198</v>
      </c>
      <c r="B76" s="7" t="s">
        <v>82</v>
      </c>
      <c r="C76" s="8">
        <v>2633890534</v>
      </c>
      <c r="D76" s="7" t="s">
        <v>112</v>
      </c>
      <c r="E76" s="7" t="s">
        <v>204</v>
      </c>
      <c r="F76" s="8">
        <v>772</v>
      </c>
      <c r="G76" s="7" t="s">
        <v>171</v>
      </c>
      <c r="H76" s="7" t="s">
        <v>204</v>
      </c>
      <c r="I76" s="7" t="s">
        <v>168</v>
      </c>
      <c r="J76" s="9">
        <v>120</v>
      </c>
      <c r="K76" s="10">
        <v>38861</v>
      </c>
      <c r="L76" s="7" t="str">
        <f t="shared" si="2"/>
        <v>Wednesday</v>
      </c>
      <c r="M76" s="7">
        <f t="shared" si="3"/>
        <v>2006</v>
      </c>
      <c r="N76" s="9">
        <v>400</v>
      </c>
      <c r="O76" s="12">
        <v>0.73611111111111116</v>
      </c>
    </row>
    <row r="77" spans="1:15" x14ac:dyDescent="0.3">
      <c r="A77" s="11" t="s">
        <v>60</v>
      </c>
      <c r="B77" s="7" t="s">
        <v>83</v>
      </c>
      <c r="C77" s="8">
        <v>9742676067</v>
      </c>
      <c r="D77" s="7" t="s">
        <v>215</v>
      </c>
      <c r="E77" s="7" t="s">
        <v>176</v>
      </c>
      <c r="F77" s="8">
        <v>662</v>
      </c>
      <c r="G77" s="7" t="s">
        <v>169</v>
      </c>
      <c r="H77" s="7" t="s">
        <v>204</v>
      </c>
      <c r="I77" s="7" t="s">
        <v>167</v>
      </c>
      <c r="J77" s="9">
        <v>200</v>
      </c>
      <c r="K77" s="10">
        <v>43969</v>
      </c>
      <c r="L77" s="7" t="str">
        <f t="shared" si="2"/>
        <v>Monday</v>
      </c>
      <c r="M77" s="7">
        <f t="shared" si="3"/>
        <v>2020</v>
      </c>
      <c r="N77" s="9">
        <v>180</v>
      </c>
      <c r="O77" s="12">
        <v>0.73958333333333337</v>
      </c>
    </row>
    <row r="78" spans="1:15" x14ac:dyDescent="0.3">
      <c r="A78" s="11" t="s">
        <v>61</v>
      </c>
      <c r="B78" s="7" t="s">
        <v>83</v>
      </c>
      <c r="C78" s="8">
        <v>9751272637</v>
      </c>
      <c r="D78" s="7" t="s">
        <v>134</v>
      </c>
      <c r="E78" s="7" t="s">
        <v>174</v>
      </c>
      <c r="F78" s="8">
        <v>493</v>
      </c>
      <c r="G78" s="7" t="s">
        <v>221</v>
      </c>
      <c r="H78" s="7" t="s">
        <v>78</v>
      </c>
      <c r="I78" s="7" t="s">
        <v>168</v>
      </c>
      <c r="J78" s="9">
        <v>150</v>
      </c>
      <c r="K78" s="10">
        <v>43844</v>
      </c>
      <c r="L78" s="7" t="str">
        <f t="shared" si="2"/>
        <v>Tuesday</v>
      </c>
      <c r="M78" s="7">
        <f t="shared" si="3"/>
        <v>2020</v>
      </c>
      <c r="N78" s="9">
        <v>500</v>
      </c>
      <c r="O78" s="12">
        <v>0.74305555555555547</v>
      </c>
    </row>
    <row r="79" spans="1:15" x14ac:dyDescent="0.3">
      <c r="A79" s="11" t="s">
        <v>199</v>
      </c>
      <c r="B79" s="7" t="s">
        <v>83</v>
      </c>
      <c r="C79" s="8">
        <v>1295980873</v>
      </c>
      <c r="D79" s="7" t="s">
        <v>151</v>
      </c>
      <c r="E79" s="7" t="s">
        <v>176</v>
      </c>
      <c r="F79" s="8">
        <v>334</v>
      </c>
      <c r="G79" s="7" t="s">
        <v>172</v>
      </c>
      <c r="H79" s="7" t="s">
        <v>78</v>
      </c>
      <c r="I79" s="7" t="s">
        <v>167</v>
      </c>
      <c r="J79" s="9">
        <v>140</v>
      </c>
      <c r="K79" s="10">
        <v>44035</v>
      </c>
      <c r="L79" s="7" t="str">
        <f t="shared" si="2"/>
        <v>Thursday</v>
      </c>
      <c r="M79" s="7">
        <f t="shared" si="3"/>
        <v>2020</v>
      </c>
      <c r="N79" s="9">
        <v>1600</v>
      </c>
      <c r="O79" s="12">
        <v>0.74652777777777779</v>
      </c>
    </row>
    <row r="80" spans="1:15" x14ac:dyDescent="0.3">
      <c r="A80" s="11" t="s">
        <v>62</v>
      </c>
      <c r="B80" s="7" t="s">
        <v>83</v>
      </c>
      <c r="C80" s="8">
        <v>2659070909</v>
      </c>
      <c r="D80" s="7" t="s">
        <v>99</v>
      </c>
      <c r="E80" s="7" t="s">
        <v>173</v>
      </c>
      <c r="F80" s="8">
        <v>607</v>
      </c>
      <c r="G80" s="7" t="s">
        <v>171</v>
      </c>
      <c r="H80" s="7" t="s">
        <v>79</v>
      </c>
      <c r="I80" s="7" t="s">
        <v>167</v>
      </c>
      <c r="J80" s="9">
        <v>120</v>
      </c>
      <c r="K80" s="10">
        <v>44196</v>
      </c>
      <c r="L80" s="7" t="str">
        <f t="shared" si="2"/>
        <v>Thursday</v>
      </c>
      <c r="M80" s="7">
        <f t="shared" si="3"/>
        <v>2020</v>
      </c>
      <c r="N80" s="9">
        <v>500</v>
      </c>
      <c r="O80" s="12">
        <v>0.75</v>
      </c>
    </row>
    <row r="81" spans="1:15" x14ac:dyDescent="0.3">
      <c r="A81" s="11" t="s">
        <v>63</v>
      </c>
      <c r="B81" s="7" t="s">
        <v>83</v>
      </c>
      <c r="C81" s="8">
        <v>6307559482</v>
      </c>
      <c r="D81" s="7" t="s">
        <v>146</v>
      </c>
      <c r="E81" s="7" t="s">
        <v>175</v>
      </c>
      <c r="F81" s="8">
        <v>462</v>
      </c>
      <c r="G81" s="7" t="s">
        <v>221</v>
      </c>
      <c r="H81" s="7" t="s">
        <v>80</v>
      </c>
      <c r="I81" s="7" t="s">
        <v>167</v>
      </c>
      <c r="J81" s="9">
        <v>150</v>
      </c>
      <c r="K81" s="10">
        <v>44055</v>
      </c>
      <c r="L81" s="7" t="str">
        <f t="shared" si="2"/>
        <v>Wednesday</v>
      </c>
      <c r="M81" s="7">
        <f t="shared" si="3"/>
        <v>2020</v>
      </c>
      <c r="N81" s="9">
        <v>600</v>
      </c>
      <c r="O81" s="12">
        <v>0.75694444444444453</v>
      </c>
    </row>
    <row r="82" spans="1:15" x14ac:dyDescent="0.3">
      <c r="A82" s="11" t="s">
        <v>64</v>
      </c>
      <c r="B82" s="7" t="s">
        <v>82</v>
      </c>
      <c r="C82" s="8">
        <v>4762401518</v>
      </c>
      <c r="D82" s="7" t="s">
        <v>216</v>
      </c>
      <c r="E82" s="7" t="s">
        <v>173</v>
      </c>
      <c r="F82" s="8">
        <v>561</v>
      </c>
      <c r="G82" s="7" t="s">
        <v>169</v>
      </c>
      <c r="H82" s="7" t="s">
        <v>78</v>
      </c>
      <c r="I82" s="7" t="s">
        <v>167</v>
      </c>
      <c r="J82" s="9">
        <v>200</v>
      </c>
      <c r="K82" s="10">
        <v>44165</v>
      </c>
      <c r="L82" s="7" t="str">
        <f t="shared" si="2"/>
        <v>Monday</v>
      </c>
      <c r="M82" s="7">
        <f t="shared" si="3"/>
        <v>2020</v>
      </c>
      <c r="N82" s="9">
        <v>270</v>
      </c>
      <c r="O82" s="12">
        <v>0.76041666666666663</v>
      </c>
    </row>
    <row r="83" spans="1:15" x14ac:dyDescent="0.3">
      <c r="A83" s="11" t="s">
        <v>200</v>
      </c>
      <c r="B83" s="7" t="s">
        <v>83</v>
      </c>
      <c r="C83" s="8">
        <v>4139816123</v>
      </c>
      <c r="D83" s="7" t="s">
        <v>147</v>
      </c>
      <c r="E83" s="7" t="s">
        <v>174</v>
      </c>
      <c r="F83" s="8">
        <v>988</v>
      </c>
      <c r="G83" s="7" t="s">
        <v>169</v>
      </c>
      <c r="H83" s="7" t="s">
        <v>78</v>
      </c>
      <c r="I83" s="7" t="s">
        <v>167</v>
      </c>
      <c r="J83" s="9">
        <v>200</v>
      </c>
      <c r="K83" s="10">
        <v>43844</v>
      </c>
      <c r="L83" s="7" t="str">
        <f t="shared" si="2"/>
        <v>Tuesday</v>
      </c>
      <c r="M83" s="7">
        <f t="shared" si="3"/>
        <v>2020</v>
      </c>
      <c r="N83" s="9">
        <v>800</v>
      </c>
      <c r="O83" s="12">
        <v>0.76388888888888884</v>
      </c>
    </row>
    <row r="84" spans="1:15" x14ac:dyDescent="0.3">
      <c r="A84" s="11" t="s">
        <v>65</v>
      </c>
      <c r="B84" s="7" t="s">
        <v>83</v>
      </c>
      <c r="C84" s="8">
        <v>3648449442</v>
      </c>
      <c r="D84" s="7" t="s">
        <v>100</v>
      </c>
      <c r="E84" s="7" t="s">
        <v>174</v>
      </c>
      <c r="F84" s="8">
        <v>149</v>
      </c>
      <c r="G84" s="7" t="s">
        <v>221</v>
      </c>
      <c r="H84" s="7" t="s">
        <v>78</v>
      </c>
      <c r="I84" s="7" t="s">
        <v>168</v>
      </c>
      <c r="J84" s="9">
        <v>150</v>
      </c>
      <c r="K84" s="10">
        <v>44079</v>
      </c>
      <c r="L84" s="7" t="str">
        <f t="shared" si="2"/>
        <v>Saturday</v>
      </c>
      <c r="M84" s="7">
        <f t="shared" si="3"/>
        <v>2020</v>
      </c>
      <c r="N84" s="9">
        <v>500</v>
      </c>
      <c r="O84" s="12">
        <v>0.76736111111111116</v>
      </c>
    </row>
    <row r="85" spans="1:15" x14ac:dyDescent="0.3">
      <c r="A85" s="11" t="s">
        <v>66</v>
      </c>
      <c r="B85" s="7" t="s">
        <v>82</v>
      </c>
      <c r="C85" s="8">
        <v>3877202047</v>
      </c>
      <c r="D85" s="7" t="s">
        <v>148</v>
      </c>
      <c r="E85" s="7" t="s">
        <v>174</v>
      </c>
      <c r="F85" s="8">
        <v>223</v>
      </c>
      <c r="G85" s="7" t="s">
        <v>169</v>
      </c>
      <c r="H85" s="7" t="s">
        <v>78</v>
      </c>
      <c r="I85" s="7" t="s">
        <v>168</v>
      </c>
      <c r="J85" s="9">
        <v>200</v>
      </c>
      <c r="K85" s="10">
        <v>43969</v>
      </c>
      <c r="L85" s="7" t="str">
        <f t="shared" si="2"/>
        <v>Monday</v>
      </c>
      <c r="M85" s="7">
        <f t="shared" si="3"/>
        <v>2020</v>
      </c>
      <c r="N85" s="9">
        <v>700</v>
      </c>
      <c r="O85" s="12">
        <v>0.77083333333333337</v>
      </c>
    </row>
    <row r="86" spans="1:15" x14ac:dyDescent="0.3">
      <c r="A86" s="11" t="s">
        <v>67</v>
      </c>
      <c r="B86" s="7" t="s">
        <v>82</v>
      </c>
      <c r="C86" s="8">
        <v>6506423344</v>
      </c>
      <c r="D86" s="7" t="s">
        <v>122</v>
      </c>
      <c r="E86" s="7" t="s">
        <v>176</v>
      </c>
      <c r="F86" s="8">
        <v>647</v>
      </c>
      <c r="G86" s="7" t="s">
        <v>221</v>
      </c>
      <c r="H86" s="7" t="s">
        <v>81</v>
      </c>
      <c r="I86" s="7" t="s">
        <v>167</v>
      </c>
      <c r="J86" s="9">
        <v>150</v>
      </c>
      <c r="K86" s="10">
        <v>43888</v>
      </c>
      <c r="L86" s="7" t="str">
        <f t="shared" si="2"/>
        <v>Thursday</v>
      </c>
      <c r="M86" s="7">
        <f t="shared" si="3"/>
        <v>2020</v>
      </c>
      <c r="N86" s="9">
        <v>1600</v>
      </c>
      <c r="O86" s="12">
        <v>0.77430555555555547</v>
      </c>
    </row>
    <row r="87" spans="1:15" x14ac:dyDescent="0.3">
      <c r="A87" s="11" t="s">
        <v>68</v>
      </c>
      <c r="B87" s="7" t="s">
        <v>83</v>
      </c>
      <c r="C87" s="8" t="s">
        <v>204</v>
      </c>
      <c r="D87" s="7" t="s">
        <v>133</v>
      </c>
      <c r="E87" s="7" t="s">
        <v>173</v>
      </c>
      <c r="F87" s="8">
        <v>67</v>
      </c>
      <c r="G87" s="7" t="s">
        <v>172</v>
      </c>
      <c r="H87" s="7" t="s">
        <v>80</v>
      </c>
      <c r="I87" s="7" t="s">
        <v>167</v>
      </c>
      <c r="J87" s="9">
        <v>140</v>
      </c>
      <c r="K87" s="10">
        <v>43879</v>
      </c>
      <c r="L87" s="7" t="str">
        <f t="shared" si="2"/>
        <v>Tuesday</v>
      </c>
      <c r="M87" s="7">
        <f t="shared" si="3"/>
        <v>2020</v>
      </c>
      <c r="N87" s="9">
        <v>500</v>
      </c>
      <c r="O87" s="12">
        <v>0.77777777777777779</v>
      </c>
    </row>
    <row r="88" spans="1:15" x14ac:dyDescent="0.3">
      <c r="A88" s="11" t="s">
        <v>55</v>
      </c>
      <c r="B88" s="7" t="s">
        <v>83</v>
      </c>
      <c r="C88" s="8">
        <v>1421179061</v>
      </c>
      <c r="D88" s="7" t="s">
        <v>150</v>
      </c>
      <c r="E88" s="7" t="s">
        <v>175</v>
      </c>
      <c r="F88" s="8">
        <v>68</v>
      </c>
      <c r="G88" s="7" t="s">
        <v>169</v>
      </c>
      <c r="H88" s="7" t="s">
        <v>78</v>
      </c>
      <c r="I88" s="7" t="s">
        <v>167</v>
      </c>
      <c r="J88" s="9">
        <v>200</v>
      </c>
      <c r="K88" s="10">
        <v>43972</v>
      </c>
      <c r="L88" s="7" t="str">
        <f t="shared" si="2"/>
        <v>Thursday</v>
      </c>
      <c r="M88" s="7">
        <f t="shared" si="3"/>
        <v>2020</v>
      </c>
      <c r="N88" s="9">
        <v>600</v>
      </c>
      <c r="O88" s="12">
        <v>0.71875</v>
      </c>
    </row>
    <row r="89" spans="1:15" x14ac:dyDescent="0.3">
      <c r="A89" s="11" t="s">
        <v>56</v>
      </c>
      <c r="B89" s="7" t="s">
        <v>82</v>
      </c>
      <c r="C89" s="8">
        <v>7855543695</v>
      </c>
      <c r="D89" s="7" t="s">
        <v>98</v>
      </c>
      <c r="E89" s="7" t="s">
        <v>176</v>
      </c>
      <c r="F89" s="8">
        <v>829</v>
      </c>
      <c r="G89" s="7" t="s">
        <v>221</v>
      </c>
      <c r="H89" s="7" t="s">
        <v>78</v>
      </c>
      <c r="I89" s="7" t="s">
        <v>168</v>
      </c>
      <c r="J89" s="9">
        <v>150</v>
      </c>
      <c r="K89" s="10">
        <v>44141</v>
      </c>
      <c r="L89" s="7" t="str">
        <f t="shared" si="2"/>
        <v>Friday</v>
      </c>
      <c r="M89" s="7">
        <f t="shared" si="3"/>
        <v>2020</v>
      </c>
      <c r="N89" s="9">
        <v>600</v>
      </c>
      <c r="O89" s="12">
        <v>0.72222222222222221</v>
      </c>
    </row>
    <row r="90" spans="1:15" x14ac:dyDescent="0.3">
      <c r="A90" s="11" t="s">
        <v>69</v>
      </c>
      <c r="B90" s="7" t="s">
        <v>83</v>
      </c>
      <c r="C90" s="8">
        <v>6968276309</v>
      </c>
      <c r="D90" s="7" t="s">
        <v>217</v>
      </c>
      <c r="E90" s="7" t="s">
        <v>174</v>
      </c>
      <c r="F90" s="8">
        <v>603</v>
      </c>
      <c r="G90" s="7" t="s">
        <v>169</v>
      </c>
      <c r="H90" s="7" t="s">
        <v>204</v>
      </c>
      <c r="I90" s="7" t="s">
        <v>167</v>
      </c>
      <c r="J90" s="9">
        <v>200</v>
      </c>
      <c r="K90" s="10">
        <v>44042</v>
      </c>
      <c r="L90" s="7" t="str">
        <f t="shared" si="2"/>
        <v>Thursday</v>
      </c>
      <c r="M90" s="7">
        <f t="shared" si="3"/>
        <v>2020</v>
      </c>
      <c r="N90" s="9">
        <v>800</v>
      </c>
      <c r="O90" s="12">
        <v>0.78819444444444453</v>
      </c>
    </row>
    <row r="91" spans="1:15" x14ac:dyDescent="0.3">
      <c r="A91" s="11" t="s">
        <v>201</v>
      </c>
      <c r="B91" s="7" t="s">
        <v>82</v>
      </c>
      <c r="C91" s="8">
        <v>3465735473</v>
      </c>
      <c r="D91" s="7" t="s">
        <v>95</v>
      </c>
      <c r="E91" s="7" t="s">
        <v>204</v>
      </c>
      <c r="F91" s="8">
        <v>946</v>
      </c>
      <c r="G91" s="7" t="s">
        <v>169</v>
      </c>
      <c r="H91" s="7" t="s">
        <v>204</v>
      </c>
      <c r="I91" s="7" t="s">
        <v>168</v>
      </c>
      <c r="J91" s="9">
        <v>200</v>
      </c>
      <c r="K91" s="10">
        <v>44091</v>
      </c>
      <c r="L91" s="7" t="str">
        <f t="shared" si="2"/>
        <v>Thursday</v>
      </c>
      <c r="M91" s="7">
        <f t="shared" si="3"/>
        <v>2020</v>
      </c>
      <c r="N91" s="9">
        <v>500</v>
      </c>
      <c r="O91" s="12">
        <v>0.79166666666666663</v>
      </c>
    </row>
    <row r="92" spans="1:15" x14ac:dyDescent="0.3">
      <c r="A92" s="11" t="s">
        <v>70</v>
      </c>
      <c r="B92" s="7" t="s">
        <v>83</v>
      </c>
      <c r="C92" s="8">
        <v>2498044864</v>
      </c>
      <c r="D92" s="7" t="s">
        <v>132</v>
      </c>
      <c r="E92" s="7" t="s">
        <v>176</v>
      </c>
      <c r="F92" s="8">
        <v>607</v>
      </c>
      <c r="G92" s="7" t="s">
        <v>221</v>
      </c>
      <c r="H92" s="7" t="s">
        <v>78</v>
      </c>
      <c r="I92" s="7" t="s">
        <v>167</v>
      </c>
      <c r="J92" s="9">
        <v>150</v>
      </c>
      <c r="K92" s="10">
        <v>43932</v>
      </c>
      <c r="L92" s="7" t="str">
        <f t="shared" si="2"/>
        <v>Saturday</v>
      </c>
      <c r="M92" s="7">
        <f t="shared" si="3"/>
        <v>2020</v>
      </c>
      <c r="N92" s="9">
        <v>1600</v>
      </c>
      <c r="O92" s="12">
        <v>0.79513888888888884</v>
      </c>
    </row>
    <row r="93" spans="1:15" x14ac:dyDescent="0.3">
      <c r="A93" s="11" t="s">
        <v>71</v>
      </c>
      <c r="B93" s="7" t="s">
        <v>82</v>
      </c>
      <c r="C93" s="8">
        <v>2606769249</v>
      </c>
      <c r="D93" s="7" t="s">
        <v>111</v>
      </c>
      <c r="E93" s="7" t="s">
        <v>173</v>
      </c>
      <c r="F93" s="8">
        <v>277</v>
      </c>
      <c r="G93" s="7" t="s">
        <v>172</v>
      </c>
      <c r="H93" s="7" t="s">
        <v>78</v>
      </c>
      <c r="I93" s="7" t="s">
        <v>168</v>
      </c>
      <c r="J93" s="9">
        <v>120</v>
      </c>
      <c r="K93" s="10">
        <v>43958</v>
      </c>
      <c r="L93" s="7" t="str">
        <f t="shared" si="2"/>
        <v>Thursday</v>
      </c>
      <c r="M93" s="7">
        <f t="shared" si="3"/>
        <v>2020</v>
      </c>
      <c r="N93" s="9">
        <v>1600</v>
      </c>
      <c r="O93" s="12">
        <v>0.79861111111111116</v>
      </c>
    </row>
    <row r="94" spans="1:15" x14ac:dyDescent="0.3">
      <c r="A94" s="11" t="s">
        <v>72</v>
      </c>
      <c r="B94" s="7" t="s">
        <v>83</v>
      </c>
      <c r="C94" s="8">
        <v>343424359</v>
      </c>
      <c r="D94" s="7" t="s">
        <v>145</v>
      </c>
      <c r="E94" s="7" t="s">
        <v>173</v>
      </c>
      <c r="F94" s="8">
        <v>888</v>
      </c>
      <c r="G94" s="7" t="s">
        <v>171</v>
      </c>
      <c r="H94" s="7" t="s">
        <v>81</v>
      </c>
      <c r="I94" s="7" t="s">
        <v>168</v>
      </c>
      <c r="J94" s="9">
        <v>120</v>
      </c>
      <c r="K94" s="10">
        <v>43832</v>
      </c>
      <c r="L94" s="7" t="str">
        <f t="shared" si="2"/>
        <v>Thursday</v>
      </c>
      <c r="M94" s="7">
        <f t="shared" si="3"/>
        <v>2020</v>
      </c>
      <c r="N94" s="9">
        <v>1000</v>
      </c>
      <c r="O94" s="12">
        <v>0.80208333333333337</v>
      </c>
    </row>
    <row r="95" spans="1:15" x14ac:dyDescent="0.3">
      <c r="A95" s="11" t="s">
        <v>73</v>
      </c>
      <c r="B95" s="7" t="s">
        <v>82</v>
      </c>
      <c r="C95" s="8">
        <v>2255117793</v>
      </c>
      <c r="D95" s="7" t="s">
        <v>110</v>
      </c>
      <c r="E95" s="7" t="s">
        <v>173</v>
      </c>
      <c r="F95" s="8">
        <v>680</v>
      </c>
      <c r="G95" s="7" t="s">
        <v>221</v>
      </c>
      <c r="H95" s="7" t="s">
        <v>78</v>
      </c>
      <c r="I95" s="7" t="s">
        <v>167</v>
      </c>
      <c r="J95" s="9">
        <v>150</v>
      </c>
      <c r="K95" s="10">
        <v>44062</v>
      </c>
      <c r="L95" s="7" t="str">
        <f t="shared" si="2"/>
        <v>Wednesday</v>
      </c>
      <c r="M95" s="7">
        <f t="shared" si="3"/>
        <v>2020</v>
      </c>
      <c r="N95" s="9">
        <v>1600</v>
      </c>
      <c r="O95" s="12">
        <v>0.80555555555555547</v>
      </c>
    </row>
    <row r="96" spans="1:15" x14ac:dyDescent="0.3">
      <c r="A96" s="11" t="s">
        <v>74</v>
      </c>
      <c r="B96" s="7" t="s">
        <v>83</v>
      </c>
      <c r="C96" s="8" t="s">
        <v>204</v>
      </c>
      <c r="D96" s="7" t="s">
        <v>144</v>
      </c>
      <c r="E96" s="7" t="s">
        <v>176</v>
      </c>
      <c r="F96" s="8">
        <v>583</v>
      </c>
      <c r="G96" s="7" t="s">
        <v>172</v>
      </c>
      <c r="H96" s="7" t="s">
        <v>81</v>
      </c>
      <c r="I96" s="7" t="s">
        <v>167</v>
      </c>
      <c r="J96" s="9">
        <v>120</v>
      </c>
      <c r="K96" s="10">
        <v>44068</v>
      </c>
      <c r="L96" s="7" t="str">
        <f t="shared" si="2"/>
        <v>Tuesday</v>
      </c>
      <c r="M96" s="7">
        <f t="shared" si="3"/>
        <v>2020</v>
      </c>
      <c r="N96" s="9">
        <v>1100</v>
      </c>
      <c r="O96" s="12">
        <v>0.8125</v>
      </c>
    </row>
    <row r="97" spans="1:15" x14ac:dyDescent="0.3">
      <c r="A97" s="11" t="s">
        <v>202</v>
      </c>
      <c r="B97" s="7" t="s">
        <v>83</v>
      </c>
      <c r="C97" s="8">
        <v>7845748028</v>
      </c>
      <c r="D97" s="7" t="s">
        <v>125</v>
      </c>
      <c r="E97" s="7" t="s">
        <v>174</v>
      </c>
      <c r="F97" s="8">
        <v>79</v>
      </c>
      <c r="G97" s="7" t="s">
        <v>169</v>
      </c>
      <c r="H97" s="7" t="s">
        <v>78</v>
      </c>
      <c r="I97" s="7" t="s">
        <v>168</v>
      </c>
      <c r="J97" s="9">
        <v>200</v>
      </c>
      <c r="K97" s="10">
        <v>44110</v>
      </c>
      <c r="L97" s="7" t="str">
        <f t="shared" si="2"/>
        <v>Tuesday</v>
      </c>
      <c r="M97" s="7">
        <f t="shared" si="3"/>
        <v>2020</v>
      </c>
      <c r="N97" s="9">
        <v>700</v>
      </c>
      <c r="O97" s="12">
        <v>0.81597222222222221</v>
      </c>
    </row>
    <row r="98" spans="1:15" x14ac:dyDescent="0.3">
      <c r="A98" s="11" t="s">
        <v>75</v>
      </c>
      <c r="B98" s="7" t="s">
        <v>83</v>
      </c>
      <c r="C98" s="8">
        <v>6122595301</v>
      </c>
      <c r="D98" s="7" t="s">
        <v>131</v>
      </c>
      <c r="E98" s="7" t="s">
        <v>174</v>
      </c>
      <c r="F98" s="8">
        <v>497</v>
      </c>
      <c r="G98" s="7" t="s">
        <v>169</v>
      </c>
      <c r="H98" s="7" t="s">
        <v>204</v>
      </c>
      <c r="I98" s="7" t="s">
        <v>167</v>
      </c>
      <c r="J98" s="9">
        <v>200</v>
      </c>
      <c r="K98" s="10">
        <v>44039</v>
      </c>
      <c r="L98" s="7" t="str">
        <f t="shared" si="2"/>
        <v>Monday</v>
      </c>
      <c r="M98" s="7">
        <f t="shared" si="3"/>
        <v>2020</v>
      </c>
      <c r="N98" s="9">
        <v>600</v>
      </c>
      <c r="O98" s="12">
        <v>0.82291666666666663</v>
      </c>
    </row>
    <row r="99" spans="1:15" x14ac:dyDescent="0.3">
      <c r="A99" s="11" t="s">
        <v>76</v>
      </c>
      <c r="B99" s="7" t="s">
        <v>82</v>
      </c>
      <c r="C99" s="8">
        <v>8349134128</v>
      </c>
      <c r="D99" s="7" t="s">
        <v>97</v>
      </c>
      <c r="E99" s="7" t="s">
        <v>204</v>
      </c>
      <c r="F99" s="8">
        <v>154</v>
      </c>
      <c r="G99" s="7" t="s">
        <v>169</v>
      </c>
      <c r="H99" s="7" t="s">
        <v>204</v>
      </c>
      <c r="I99" s="7" t="s">
        <v>168</v>
      </c>
      <c r="J99" s="9">
        <v>200</v>
      </c>
      <c r="K99" s="10">
        <v>43921</v>
      </c>
      <c r="L99" s="7" t="str">
        <f t="shared" si="2"/>
        <v>Tuesday</v>
      </c>
      <c r="M99" s="7">
        <f t="shared" si="3"/>
        <v>2020</v>
      </c>
      <c r="N99" s="9">
        <v>600</v>
      </c>
      <c r="O99" s="12">
        <v>0.82638888888888884</v>
      </c>
    </row>
    <row r="100" spans="1:15" x14ac:dyDescent="0.3">
      <c r="A100" s="11" t="s">
        <v>203</v>
      </c>
      <c r="B100" s="7" t="s">
        <v>83</v>
      </c>
      <c r="C100" s="8">
        <v>4081880170</v>
      </c>
      <c r="D100" s="7" t="s">
        <v>218</v>
      </c>
      <c r="E100" s="7" t="s">
        <v>173</v>
      </c>
      <c r="F100" s="8">
        <v>38</v>
      </c>
      <c r="G100" s="7" t="s">
        <v>221</v>
      </c>
      <c r="H100" s="7" t="s">
        <v>81</v>
      </c>
      <c r="I100" s="7" t="s">
        <v>167</v>
      </c>
      <c r="J100" s="9">
        <v>150</v>
      </c>
      <c r="K100" s="10">
        <v>44069</v>
      </c>
      <c r="L100" s="7" t="str">
        <f t="shared" si="2"/>
        <v>Wednesday</v>
      </c>
      <c r="M100" s="7">
        <f t="shared" si="3"/>
        <v>2020</v>
      </c>
      <c r="N100" s="9">
        <v>700</v>
      </c>
      <c r="O100" s="12">
        <v>0.82986111111111116</v>
      </c>
    </row>
    <row r="101" spans="1:15" x14ac:dyDescent="0.3">
      <c r="A101" s="19" t="s">
        <v>77</v>
      </c>
      <c r="B101" s="20" t="s">
        <v>83</v>
      </c>
      <c r="C101" s="21" t="s">
        <v>204</v>
      </c>
      <c r="D101" s="20" t="s">
        <v>96</v>
      </c>
      <c r="E101" s="20" t="s">
        <v>174</v>
      </c>
      <c r="F101" s="21">
        <v>539</v>
      </c>
      <c r="G101" s="20" t="s">
        <v>172</v>
      </c>
      <c r="H101" s="20" t="s">
        <v>78</v>
      </c>
      <c r="I101" s="20" t="s">
        <v>168</v>
      </c>
      <c r="J101" s="22">
        <v>120</v>
      </c>
      <c r="K101" s="23">
        <v>44134</v>
      </c>
      <c r="L101" s="20" t="str">
        <f t="shared" si="2"/>
        <v>Friday</v>
      </c>
      <c r="M101" s="20">
        <f t="shared" si="3"/>
        <v>2020</v>
      </c>
      <c r="N101" s="22">
        <v>400</v>
      </c>
      <c r="O101" s="24">
        <v>0.83333333333333337</v>
      </c>
    </row>
  </sheetData>
  <conditionalFormatting sqref="A1:O101">
    <cfRule type="containsText" dxfId="9" priority="1" operator="containsText" text="Excellent">
      <formula>NOT(ISERROR(SEARCH("Excellent",A1)))</formula>
    </cfRule>
    <cfRule type="containsText" dxfId="8" priority="2" operator="containsText" text="Bad">
      <formula>NOT(ISERROR(SEARCH("Bad",A1)))</formula>
    </cfRule>
  </conditionalFormatting>
  <conditionalFormatting sqref="C1:G101">
    <cfRule type="cellIs" dxfId="6" priority="10" operator="equal">
      <formula>$C$87</formula>
    </cfRule>
  </conditionalFormatting>
  <conditionalFormatting sqref="H1:H101">
    <cfRule type="containsText" dxfId="4" priority="6" operator="containsText" text="Review$H$73">
      <formula>NOT(ISERROR(SEARCH("Review$H$73",H1)))</formula>
    </cfRule>
    <cfRule type="containsText" dxfId="3" priority="7" operator="containsText" text="Review$H$79">
      <formula>NOT(ISERROR(SEARCH("Review$H$79",H1)))</formula>
    </cfRule>
  </conditionalFormatting>
  <conditionalFormatting sqref="H2:H101">
    <cfRule type="containsText" dxfId="0" priority="5" operator="containsText" text="Good">
      <formula>NOT(ISERROR(SEARCH("Good",H2)))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2633E8C6-30F1-43FF-A5FE-BEABAB1AD72A}">
            <xm:f>NOT(ISERROR(SEARCH($C$7,A1)))</xm:f>
            <xm:f>$C$7</xm:f>
            <x14:dxf>
              <font>
                <b/>
                <i/>
                <color rgb="FFC00000"/>
              </font>
              <fill>
                <patternFill patternType="gray125">
                  <fgColor auto="1"/>
                  <bgColor rgb="FFFFC000"/>
                </patternFill>
              </fill>
            </x14:dxf>
          </x14:cfRule>
          <xm:sqref>A1:O101</xm:sqref>
        </x14:conditionalFormatting>
        <x14:conditionalFormatting xmlns:xm="http://schemas.microsoft.com/office/excel/2006/main">
          <x14:cfRule type="containsText" priority="9" operator="containsText" id="{E45D533D-77DA-4E12-92D4-8E47EE733DBB}">
            <xm:f>NOT(ISERROR(SEARCH($E$76,E1)))</xm:f>
            <xm:f>$E$76</xm:f>
            <x14:dxf>
              <font>
                <color rgb="FF9C0006"/>
              </font>
              <fill>
                <patternFill>
                  <bgColor rgb="FFFFC7CE"/>
                </patternFill>
              </fill>
            </x14:dxf>
          </x14:cfRule>
          <xm:sqref>E1:E101</xm:sqref>
        </x14:conditionalFormatting>
        <x14:conditionalFormatting xmlns:xm="http://schemas.microsoft.com/office/excel/2006/main">
          <x14:cfRule type="containsText" priority="8" operator="containsText" id="{920FBCCA-7D58-4F39-952A-A25BDB779B9D}">
            <xm:f>NOT(ISERROR(SEARCH($H$76,H1)))</xm:f>
            <xm:f>$H$76</xm:f>
            <x14:dxf>
              <font>
                <color rgb="FF9C0006"/>
              </font>
              <fill>
                <patternFill>
                  <bgColor rgb="FFFFC7CE"/>
                </patternFill>
              </fill>
            </x14:dxf>
          </x14:cfRule>
          <xm:sqref>H1:H101</xm:sqref>
        </x14:conditionalFormatting>
        <x14:conditionalFormatting xmlns:xm="http://schemas.microsoft.com/office/excel/2006/main">
          <x14:cfRule type="containsText" priority="4" operator="containsText" id="{518B26CA-29E1-4C49-9512-65D072883E6A}">
            <xm:f>NOT(ISERROR(SEARCH($H$80,H2)))</xm:f>
            <xm:f>$H$80</xm:f>
            <x14:dxf>
              <font>
                <color rgb="FF9C5700"/>
              </font>
              <fill>
                <patternFill>
                  <bgColor rgb="FFFFEB9C"/>
                </patternFill>
              </fill>
            </x14:dxf>
          </x14:cfRule>
          <xm:sqref>H2:H101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3C2ED-98AE-428D-AD90-19CE91E04C67}">
  <sheetPr>
    <tabColor rgb="FF002060"/>
  </sheetPr>
  <dimension ref="B2:S27"/>
  <sheetViews>
    <sheetView topLeftCell="B1" workbookViewId="0">
      <selection activeCell="H26" sqref="H26"/>
    </sheetView>
  </sheetViews>
  <sheetFormatPr defaultRowHeight="14.4" x14ac:dyDescent="0.3"/>
  <cols>
    <col min="2" max="2" width="13.6640625" customWidth="1"/>
    <col min="3" max="3" width="13.33203125" customWidth="1"/>
    <col min="5" max="5" width="15.77734375" bestFit="1" customWidth="1"/>
    <col min="6" max="6" width="16.77734375" customWidth="1"/>
    <col min="8" max="8" width="18.5546875" bestFit="1" customWidth="1"/>
    <col min="9" max="9" width="10.77734375" bestFit="1" customWidth="1"/>
    <col min="10" max="10" width="6.88671875" bestFit="1" customWidth="1"/>
    <col min="11" max="11" width="14.44140625" bestFit="1" customWidth="1"/>
    <col min="12" max="12" width="15.77734375" bestFit="1" customWidth="1"/>
    <col min="13" max="13" width="14.44140625" bestFit="1" customWidth="1"/>
    <col min="14" max="14" width="2.44140625" customWidth="1"/>
    <col min="15" max="15" width="14.44140625" bestFit="1" customWidth="1"/>
    <col min="16" max="16" width="7.6640625" bestFit="1" customWidth="1"/>
    <col min="17" max="19" width="5" bestFit="1" customWidth="1"/>
    <col min="20" max="20" width="10.77734375" bestFit="1" customWidth="1"/>
  </cols>
  <sheetData>
    <row r="2" spans="2:19" x14ac:dyDescent="0.3">
      <c r="B2" s="27" t="s">
        <v>9</v>
      </c>
      <c r="C2" s="28" t="s">
        <v>222</v>
      </c>
      <c r="E2" s="27" t="s">
        <v>227</v>
      </c>
      <c r="F2" s="30" t="s">
        <v>228</v>
      </c>
      <c r="H2" s="32" t="s">
        <v>246</v>
      </c>
      <c r="I2" s="32" t="s">
        <v>242</v>
      </c>
      <c r="L2" s="32" t="s">
        <v>248</v>
      </c>
      <c r="M2" t="s">
        <v>247</v>
      </c>
      <c r="O2" s="32" t="s">
        <v>8</v>
      </c>
      <c r="P2" t="s">
        <v>251</v>
      </c>
    </row>
    <row r="3" spans="2:19" x14ac:dyDescent="0.3">
      <c r="B3" s="11" t="s">
        <v>83</v>
      </c>
      <c r="C3" s="26">
        <v>38504</v>
      </c>
      <c r="E3" s="11" t="s">
        <v>221</v>
      </c>
      <c r="F3" s="31">
        <v>31</v>
      </c>
      <c r="H3" s="32" t="s">
        <v>245</v>
      </c>
      <c r="I3" t="s">
        <v>83</v>
      </c>
      <c r="J3" t="s">
        <v>82</v>
      </c>
      <c r="L3" s="3" t="s">
        <v>169</v>
      </c>
      <c r="M3">
        <v>27</v>
      </c>
      <c r="O3" s="3" t="s">
        <v>252</v>
      </c>
      <c r="P3">
        <v>10</v>
      </c>
    </row>
    <row r="4" spans="2:19" x14ac:dyDescent="0.3">
      <c r="B4" s="19" t="s">
        <v>82</v>
      </c>
      <c r="C4" s="29">
        <v>41758</v>
      </c>
      <c r="E4" s="11" t="s">
        <v>169</v>
      </c>
      <c r="F4" s="31">
        <v>27</v>
      </c>
      <c r="H4" s="3" t="s">
        <v>173</v>
      </c>
      <c r="I4">
        <v>8670</v>
      </c>
      <c r="J4">
        <v>14520</v>
      </c>
      <c r="L4" s="3" t="s">
        <v>171</v>
      </c>
      <c r="M4">
        <v>19</v>
      </c>
      <c r="O4" s="3" t="s">
        <v>253</v>
      </c>
      <c r="P4">
        <v>11</v>
      </c>
    </row>
    <row r="5" spans="2:19" x14ac:dyDescent="0.3">
      <c r="E5" s="19" t="s">
        <v>172</v>
      </c>
      <c r="F5" s="25">
        <v>23</v>
      </c>
      <c r="H5" s="3" t="s">
        <v>175</v>
      </c>
      <c r="I5">
        <v>4670</v>
      </c>
      <c r="J5">
        <v>887</v>
      </c>
      <c r="L5" s="3" t="s">
        <v>172</v>
      </c>
      <c r="M5">
        <v>23</v>
      </c>
      <c r="O5" s="3" t="s">
        <v>254</v>
      </c>
      <c r="P5">
        <v>9</v>
      </c>
    </row>
    <row r="6" spans="2:19" x14ac:dyDescent="0.3">
      <c r="B6" s="27" t="s">
        <v>206</v>
      </c>
      <c r="C6" s="30" t="s">
        <v>223</v>
      </c>
      <c r="H6" s="3" t="s">
        <v>176</v>
      </c>
      <c r="I6">
        <v>8680</v>
      </c>
      <c r="J6">
        <v>12370</v>
      </c>
      <c r="L6" s="3" t="s">
        <v>221</v>
      </c>
      <c r="M6">
        <v>31</v>
      </c>
      <c r="O6" s="3" t="s">
        <v>255</v>
      </c>
      <c r="P6">
        <v>11</v>
      </c>
    </row>
    <row r="7" spans="2:19" x14ac:dyDescent="0.3">
      <c r="B7" s="11" t="s">
        <v>79</v>
      </c>
      <c r="C7" s="31">
        <v>18</v>
      </c>
      <c r="E7" s="27" t="s">
        <v>227</v>
      </c>
      <c r="F7" s="28" t="s">
        <v>229</v>
      </c>
      <c r="H7" s="3" t="s">
        <v>174</v>
      </c>
      <c r="I7">
        <v>15704</v>
      </c>
      <c r="J7">
        <v>12300</v>
      </c>
      <c r="O7" s="3" t="s">
        <v>256</v>
      </c>
      <c r="P7">
        <v>14</v>
      </c>
    </row>
    <row r="8" spans="2:19" x14ac:dyDescent="0.3">
      <c r="B8" s="11" t="s">
        <v>80</v>
      </c>
      <c r="C8" s="31">
        <v>13</v>
      </c>
      <c r="E8" s="11" t="s">
        <v>169</v>
      </c>
      <c r="F8" s="26">
        <v>200</v>
      </c>
      <c r="H8" s="3" t="s">
        <v>204</v>
      </c>
      <c r="I8">
        <v>780</v>
      </c>
      <c r="J8">
        <v>1681</v>
      </c>
      <c r="O8" s="3" t="s">
        <v>257</v>
      </c>
      <c r="P8">
        <v>11</v>
      </c>
    </row>
    <row r="9" spans="2:19" x14ac:dyDescent="0.3">
      <c r="B9" s="11" t="s">
        <v>81</v>
      </c>
      <c r="C9" s="31">
        <v>22</v>
      </c>
      <c r="E9" s="11" t="s">
        <v>221</v>
      </c>
      <c r="F9" s="26">
        <v>150</v>
      </c>
      <c r="O9" s="3" t="s">
        <v>258</v>
      </c>
      <c r="P9">
        <v>14</v>
      </c>
    </row>
    <row r="10" spans="2:19" x14ac:dyDescent="0.3">
      <c r="B10" s="11" t="s">
        <v>78</v>
      </c>
      <c r="C10" s="31">
        <v>34</v>
      </c>
      <c r="E10" s="19" t="s">
        <v>172</v>
      </c>
      <c r="F10" s="29">
        <v>140</v>
      </c>
      <c r="H10" s="32" t="s">
        <v>244</v>
      </c>
      <c r="I10" t="s">
        <v>246</v>
      </c>
      <c r="K10" s="32" t="s">
        <v>251</v>
      </c>
      <c r="L10" s="32" t="s">
        <v>242</v>
      </c>
      <c r="O10" s="3" t="s">
        <v>259</v>
      </c>
      <c r="P10">
        <v>9</v>
      </c>
    </row>
    <row r="11" spans="2:19" x14ac:dyDescent="0.3">
      <c r="B11" s="19" t="s">
        <v>204</v>
      </c>
      <c r="C11" s="25">
        <v>13</v>
      </c>
      <c r="H11" s="3">
        <v>2006</v>
      </c>
      <c r="I11">
        <v>400</v>
      </c>
      <c r="K11" s="32" t="s">
        <v>244</v>
      </c>
      <c r="L11" t="s">
        <v>83</v>
      </c>
      <c r="M11" t="s">
        <v>82</v>
      </c>
      <c r="O11" s="3" t="s">
        <v>260</v>
      </c>
      <c r="P11">
        <v>10</v>
      </c>
    </row>
    <row r="12" spans="2:19" x14ac:dyDescent="0.3">
      <c r="E12" s="27" t="s">
        <v>230</v>
      </c>
      <c r="F12" s="30" t="s">
        <v>231</v>
      </c>
      <c r="H12" s="3">
        <v>2018</v>
      </c>
      <c r="I12">
        <v>24372</v>
      </c>
      <c r="K12" s="3">
        <v>2006</v>
      </c>
      <c r="M12">
        <v>1</v>
      </c>
      <c r="O12" s="3" t="s">
        <v>261</v>
      </c>
      <c r="P12">
        <v>1</v>
      </c>
    </row>
    <row r="13" spans="2:19" x14ac:dyDescent="0.3">
      <c r="B13" s="27" t="s">
        <v>224</v>
      </c>
      <c r="C13" s="30" t="s">
        <v>223</v>
      </c>
      <c r="E13" s="11">
        <v>2006</v>
      </c>
      <c r="F13" s="31">
        <v>1</v>
      </c>
      <c r="H13" s="3">
        <v>2019</v>
      </c>
      <c r="I13">
        <v>32670</v>
      </c>
      <c r="K13" s="3">
        <v>2018</v>
      </c>
      <c r="L13">
        <v>12</v>
      </c>
      <c r="M13">
        <v>18</v>
      </c>
    </row>
    <row r="14" spans="2:19" x14ac:dyDescent="0.3">
      <c r="B14" s="11" t="s">
        <v>168</v>
      </c>
      <c r="C14" s="31">
        <v>41</v>
      </c>
      <c r="E14" s="11">
        <v>2018</v>
      </c>
      <c r="F14" s="31">
        <v>30</v>
      </c>
      <c r="H14" s="3">
        <v>2020</v>
      </c>
      <c r="I14">
        <v>22820</v>
      </c>
      <c r="K14" s="3">
        <v>2019</v>
      </c>
      <c r="L14">
        <v>20</v>
      </c>
      <c r="M14">
        <v>19</v>
      </c>
      <c r="O14" s="32" t="s">
        <v>251</v>
      </c>
      <c r="P14" s="32" t="s">
        <v>244</v>
      </c>
    </row>
    <row r="15" spans="2:19" x14ac:dyDescent="0.3">
      <c r="B15" s="19" t="s">
        <v>167</v>
      </c>
      <c r="C15" s="25">
        <v>59</v>
      </c>
      <c r="E15" s="11">
        <v>2019</v>
      </c>
      <c r="F15" s="31">
        <v>39</v>
      </c>
      <c r="K15" s="3">
        <v>2020</v>
      </c>
      <c r="L15">
        <v>20</v>
      </c>
      <c r="M15">
        <v>10</v>
      </c>
      <c r="O15" s="32" t="s">
        <v>243</v>
      </c>
      <c r="P15">
        <v>2006</v>
      </c>
      <c r="Q15">
        <v>2018</v>
      </c>
      <c r="R15">
        <v>2019</v>
      </c>
      <c r="S15">
        <v>2020</v>
      </c>
    </row>
    <row r="16" spans="2:19" x14ac:dyDescent="0.3">
      <c r="E16" s="19">
        <v>2020</v>
      </c>
      <c r="F16" s="25">
        <v>30</v>
      </c>
      <c r="O16" s="3" t="s">
        <v>79</v>
      </c>
      <c r="Q16">
        <v>6</v>
      </c>
      <c r="R16">
        <v>10</v>
      </c>
      <c r="S16">
        <v>2</v>
      </c>
    </row>
    <row r="17" spans="2:19" x14ac:dyDescent="0.3">
      <c r="B17" s="27" t="s">
        <v>225</v>
      </c>
      <c r="C17" s="30" t="s">
        <v>226</v>
      </c>
      <c r="H17" s="32" t="s">
        <v>251</v>
      </c>
      <c r="I17" s="32" t="s">
        <v>249</v>
      </c>
      <c r="L17" s="32" t="s">
        <v>250</v>
      </c>
      <c r="M17" t="s">
        <v>251</v>
      </c>
      <c r="O17" s="3" t="s">
        <v>80</v>
      </c>
      <c r="Q17">
        <v>5</v>
      </c>
      <c r="R17">
        <v>6</v>
      </c>
      <c r="S17">
        <v>2</v>
      </c>
    </row>
    <row r="18" spans="2:19" x14ac:dyDescent="0.3">
      <c r="B18" s="11" t="s">
        <v>173</v>
      </c>
      <c r="C18" s="31">
        <v>30</v>
      </c>
      <c r="E18" s="27" t="s">
        <v>232</v>
      </c>
      <c r="F18" s="28" t="s">
        <v>233</v>
      </c>
      <c r="H18" s="32" t="s">
        <v>245</v>
      </c>
      <c r="I18" t="s">
        <v>168</v>
      </c>
      <c r="J18" t="s">
        <v>167</v>
      </c>
      <c r="L18" s="3" t="s">
        <v>240</v>
      </c>
      <c r="M18">
        <v>14</v>
      </c>
      <c r="O18" s="3" t="s">
        <v>81</v>
      </c>
      <c r="Q18">
        <v>9</v>
      </c>
      <c r="R18">
        <v>8</v>
      </c>
      <c r="S18">
        <v>5</v>
      </c>
    </row>
    <row r="19" spans="2:19" x14ac:dyDescent="0.3">
      <c r="B19" s="11" t="s">
        <v>175</v>
      </c>
      <c r="C19" s="31">
        <v>9</v>
      </c>
      <c r="E19" s="11">
        <v>2019</v>
      </c>
      <c r="F19" s="26">
        <v>32670</v>
      </c>
      <c r="H19" s="3" t="s">
        <v>173</v>
      </c>
      <c r="I19">
        <v>10</v>
      </c>
      <c r="J19">
        <v>20</v>
      </c>
      <c r="L19" s="3" t="s">
        <v>236</v>
      </c>
      <c r="M19">
        <v>18</v>
      </c>
      <c r="O19" s="3" t="s">
        <v>78</v>
      </c>
      <c r="Q19">
        <v>6</v>
      </c>
      <c r="R19">
        <v>12</v>
      </c>
      <c r="S19">
        <v>16</v>
      </c>
    </row>
    <row r="20" spans="2:19" x14ac:dyDescent="0.3">
      <c r="B20" s="11" t="s">
        <v>176</v>
      </c>
      <c r="C20" s="31">
        <v>23</v>
      </c>
      <c r="E20" s="11">
        <v>2018</v>
      </c>
      <c r="F20" s="26">
        <v>24372</v>
      </c>
      <c r="H20" s="3" t="s">
        <v>175</v>
      </c>
      <c r="I20">
        <v>1</v>
      </c>
      <c r="J20">
        <v>8</v>
      </c>
      <c r="L20" s="3" t="s">
        <v>237</v>
      </c>
      <c r="M20">
        <v>16</v>
      </c>
      <c r="O20" s="3" t="s">
        <v>204</v>
      </c>
      <c r="P20">
        <v>1</v>
      </c>
      <c r="Q20">
        <v>4</v>
      </c>
      <c r="R20">
        <v>3</v>
      </c>
      <c r="S20">
        <v>5</v>
      </c>
    </row>
    <row r="21" spans="2:19" x14ac:dyDescent="0.3">
      <c r="B21" s="11" t="s">
        <v>174</v>
      </c>
      <c r="C21" s="31">
        <v>32</v>
      </c>
      <c r="E21" s="11">
        <v>2020</v>
      </c>
      <c r="F21" s="26">
        <v>22820</v>
      </c>
      <c r="H21" s="3" t="s">
        <v>176</v>
      </c>
      <c r="I21">
        <v>9</v>
      </c>
      <c r="J21">
        <v>14</v>
      </c>
      <c r="L21" s="3" t="s">
        <v>235</v>
      </c>
      <c r="M21">
        <v>19</v>
      </c>
    </row>
    <row r="22" spans="2:19" x14ac:dyDescent="0.3">
      <c r="B22" s="19" t="s">
        <v>204</v>
      </c>
      <c r="C22" s="25">
        <v>6</v>
      </c>
      <c r="E22" s="19">
        <v>2006</v>
      </c>
      <c r="F22" s="29">
        <v>400</v>
      </c>
      <c r="H22" s="3" t="s">
        <v>174</v>
      </c>
      <c r="I22">
        <v>16</v>
      </c>
      <c r="J22">
        <v>16</v>
      </c>
      <c r="L22" s="3" t="s">
        <v>239</v>
      </c>
      <c r="M22">
        <v>13</v>
      </c>
    </row>
    <row r="23" spans="2:19" x14ac:dyDescent="0.3">
      <c r="H23" s="3" t="s">
        <v>204</v>
      </c>
      <c r="I23">
        <v>5</v>
      </c>
      <c r="J23">
        <v>1</v>
      </c>
      <c r="L23" s="3" t="s">
        <v>238</v>
      </c>
      <c r="M23">
        <v>13</v>
      </c>
    </row>
    <row r="24" spans="2:19" x14ac:dyDescent="0.3">
      <c r="L24" s="3" t="s">
        <v>241</v>
      </c>
      <c r="M24">
        <v>7</v>
      </c>
    </row>
    <row r="25" spans="2:19" x14ac:dyDescent="0.3">
      <c r="H25" s="32" t="s">
        <v>264</v>
      </c>
      <c r="I25" t="s">
        <v>265</v>
      </c>
    </row>
    <row r="26" spans="2:19" x14ac:dyDescent="0.3">
      <c r="H26" s="3" t="s">
        <v>168</v>
      </c>
      <c r="I26" s="43">
        <v>41</v>
      </c>
    </row>
    <row r="27" spans="2:19" x14ac:dyDescent="0.3">
      <c r="H27" s="3" t="s">
        <v>263</v>
      </c>
      <c r="I27" s="43">
        <v>59</v>
      </c>
    </row>
  </sheetData>
  <pageMargins left="0.7" right="0.7" top="0.75" bottom="0.75" header="0.3" footer="0.3"/>
  <tableParts count="8">
    <tablePart r:id="rId10"/>
    <tablePart r:id="rId11"/>
    <tablePart r:id="rId12"/>
    <tablePart r:id="rId13"/>
    <tablePart r:id="rId14"/>
    <tablePart r:id="rId15"/>
    <tablePart r:id="rId16"/>
    <tablePart r:id="rId1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workbookViewId="0">
      <selection activeCell="O7" sqref="O7"/>
    </sheetView>
  </sheetViews>
  <sheetFormatPr defaultRowHeight="14.4" x14ac:dyDescent="0.3"/>
  <cols>
    <col min="1" max="1" width="18.6640625" customWidth="1"/>
    <col min="2" max="2" width="14" customWidth="1"/>
    <col min="3" max="3" width="16.44140625" style="3" customWidth="1"/>
    <col min="4" max="4" width="26.88671875" customWidth="1"/>
    <col min="5" max="5" width="11.44140625" bestFit="1" customWidth="1"/>
    <col min="6" max="6" width="9" style="3" customWidth="1"/>
    <col min="7" max="7" width="18.5546875" customWidth="1"/>
    <col min="8" max="8" width="15.88671875" customWidth="1"/>
    <col min="9" max="9" width="9" style="3"/>
    <col min="10" max="10" width="12.5546875" style="3" customWidth="1"/>
    <col min="11" max="11" width="12.44140625" style="3" bestFit="1" customWidth="1"/>
    <col min="12" max="12" width="11" style="5" customWidth="1"/>
    <col min="13" max="13" width="9.109375" customWidth="1"/>
  </cols>
  <sheetData>
    <row r="1" spans="1:13" ht="15.6" x14ac:dyDescent="0.3">
      <c r="A1" s="1" t="s">
        <v>0</v>
      </c>
      <c r="B1" s="1" t="s">
        <v>206</v>
      </c>
      <c r="C1" s="2" t="s">
        <v>1</v>
      </c>
      <c r="D1" s="1" t="s">
        <v>2</v>
      </c>
      <c r="E1" s="1" t="s">
        <v>166</v>
      </c>
      <c r="F1" s="2" t="s">
        <v>3</v>
      </c>
      <c r="G1" s="1" t="s">
        <v>205</v>
      </c>
      <c r="H1" s="1" t="s">
        <v>4</v>
      </c>
      <c r="I1" s="2" t="s">
        <v>5</v>
      </c>
      <c r="J1" s="2" t="s">
        <v>6</v>
      </c>
      <c r="K1" s="2" t="s">
        <v>7</v>
      </c>
      <c r="L1" s="4" t="s">
        <v>8</v>
      </c>
      <c r="M1" s="1" t="s">
        <v>9</v>
      </c>
    </row>
    <row r="2" spans="1:13" x14ac:dyDescent="0.3">
      <c r="A2" t="s">
        <v>10</v>
      </c>
      <c r="B2" t="s">
        <v>78</v>
      </c>
      <c r="C2" s="3">
        <v>9906960566</v>
      </c>
      <c r="D2" t="s">
        <v>84</v>
      </c>
      <c r="E2" t="s">
        <v>167</v>
      </c>
      <c r="F2" s="3">
        <v>753</v>
      </c>
      <c r="G2" t="s">
        <v>169</v>
      </c>
      <c r="H2" t="s">
        <v>173</v>
      </c>
      <c r="I2" s="3">
        <v>200</v>
      </c>
      <c r="J2" s="6">
        <v>43439</v>
      </c>
      <c r="K2" s="3">
        <v>700</v>
      </c>
      <c r="L2" s="5">
        <v>0.45833333333333331</v>
      </c>
      <c r="M2" t="s">
        <v>82</v>
      </c>
    </row>
    <row r="3" spans="1:13" x14ac:dyDescent="0.3">
      <c r="A3" t="s">
        <v>11</v>
      </c>
      <c r="B3" t="s">
        <v>79</v>
      </c>
      <c r="C3" s="3">
        <v>5900874374</v>
      </c>
      <c r="D3" t="s">
        <v>103</v>
      </c>
      <c r="E3" t="s">
        <v>168</v>
      </c>
      <c r="F3" s="3">
        <v>109</v>
      </c>
      <c r="G3" t="s">
        <v>170</v>
      </c>
      <c r="H3" t="s">
        <v>173</v>
      </c>
      <c r="I3" s="3">
        <v>150</v>
      </c>
      <c r="J3" s="6">
        <v>43269</v>
      </c>
      <c r="K3" s="3">
        <v>600</v>
      </c>
      <c r="L3" s="5">
        <v>0.46180555555555558</v>
      </c>
      <c r="M3" t="s">
        <v>83</v>
      </c>
    </row>
    <row r="4" spans="1:13" x14ac:dyDescent="0.3">
      <c r="A4" t="s">
        <v>177</v>
      </c>
      <c r="B4" t="s">
        <v>80</v>
      </c>
      <c r="C4" s="3">
        <v>453601168</v>
      </c>
      <c r="D4" t="s">
        <v>85</v>
      </c>
      <c r="E4" t="s">
        <v>168</v>
      </c>
      <c r="F4" s="3">
        <v>124</v>
      </c>
      <c r="G4" t="s">
        <v>172</v>
      </c>
      <c r="H4" t="s">
        <v>176</v>
      </c>
      <c r="I4" s="3">
        <v>140</v>
      </c>
      <c r="J4" s="6">
        <v>43134</v>
      </c>
      <c r="K4" s="3">
        <v>600</v>
      </c>
      <c r="L4" s="5">
        <v>0.46527777777777773</v>
      </c>
      <c r="M4" t="s">
        <v>82</v>
      </c>
    </row>
    <row r="5" spans="1:13" x14ac:dyDescent="0.3">
      <c r="A5" t="s">
        <v>178</v>
      </c>
      <c r="B5" t="s">
        <v>80</v>
      </c>
      <c r="C5" s="3">
        <v>1032274597</v>
      </c>
      <c r="D5" t="s">
        <v>207</v>
      </c>
      <c r="E5" t="s">
        <v>168</v>
      </c>
      <c r="F5" s="3">
        <v>161</v>
      </c>
      <c r="G5" t="s">
        <v>172</v>
      </c>
      <c r="H5" t="s">
        <v>174</v>
      </c>
      <c r="I5" s="3">
        <v>140</v>
      </c>
      <c r="J5" s="6">
        <v>43233</v>
      </c>
      <c r="K5" s="3">
        <v>267</v>
      </c>
      <c r="L5" s="5">
        <v>0.50347222222222221</v>
      </c>
      <c r="M5" t="s">
        <v>83</v>
      </c>
    </row>
    <row r="6" spans="1:13" x14ac:dyDescent="0.3">
      <c r="A6" t="s">
        <v>12</v>
      </c>
      <c r="B6" t="s">
        <v>204</v>
      </c>
      <c r="C6" s="3">
        <v>1664438923</v>
      </c>
      <c r="D6" t="s">
        <v>86</v>
      </c>
      <c r="E6" t="s">
        <v>167</v>
      </c>
      <c r="F6" s="3">
        <v>533</v>
      </c>
      <c r="G6" t="s">
        <v>169</v>
      </c>
      <c r="H6" t="s">
        <v>173</v>
      </c>
      <c r="I6" s="3">
        <v>200</v>
      </c>
      <c r="J6" s="6">
        <v>43170</v>
      </c>
      <c r="K6" s="3">
        <v>400</v>
      </c>
      <c r="L6" s="5">
        <v>0.47569444444444442</v>
      </c>
      <c r="M6" t="s">
        <v>82</v>
      </c>
    </row>
    <row r="7" spans="1:13" x14ac:dyDescent="0.3">
      <c r="A7" t="s">
        <v>13</v>
      </c>
      <c r="B7" t="s">
        <v>81</v>
      </c>
      <c r="C7" s="3" t="s">
        <v>204</v>
      </c>
      <c r="D7" t="s">
        <v>120</v>
      </c>
      <c r="E7" t="s">
        <v>167</v>
      </c>
      <c r="F7" s="3">
        <v>773</v>
      </c>
      <c r="G7" t="s">
        <v>170</v>
      </c>
      <c r="H7" t="s">
        <v>175</v>
      </c>
      <c r="I7" s="3">
        <v>150</v>
      </c>
      <c r="J7" s="6">
        <v>43188</v>
      </c>
      <c r="K7" s="3">
        <v>387</v>
      </c>
      <c r="L7" s="5">
        <v>0.47916666666666669</v>
      </c>
      <c r="M7" t="s">
        <v>82</v>
      </c>
    </row>
    <row r="8" spans="1:13" x14ac:dyDescent="0.3">
      <c r="A8" t="s">
        <v>179</v>
      </c>
      <c r="B8" t="s">
        <v>81</v>
      </c>
      <c r="C8" s="3">
        <v>867038371</v>
      </c>
      <c r="D8" t="s">
        <v>87</v>
      </c>
      <c r="E8" t="s">
        <v>167</v>
      </c>
      <c r="F8" s="3">
        <v>135</v>
      </c>
      <c r="G8" t="s">
        <v>172</v>
      </c>
      <c r="H8" t="s">
        <v>173</v>
      </c>
      <c r="I8" s="3">
        <v>140</v>
      </c>
      <c r="J8" s="6">
        <v>43176</v>
      </c>
      <c r="K8" s="3">
        <v>400</v>
      </c>
      <c r="L8" s="5">
        <v>0.4826388888888889</v>
      </c>
      <c r="M8" t="s">
        <v>82</v>
      </c>
    </row>
    <row r="9" spans="1:13" x14ac:dyDescent="0.3">
      <c r="A9" t="s">
        <v>180</v>
      </c>
      <c r="B9" t="s">
        <v>81</v>
      </c>
      <c r="C9" s="3">
        <v>673760051</v>
      </c>
      <c r="D9" t="s">
        <v>130</v>
      </c>
      <c r="E9" t="s">
        <v>168</v>
      </c>
      <c r="F9" s="3">
        <v>829</v>
      </c>
      <c r="G9" t="s">
        <v>171</v>
      </c>
      <c r="H9" t="s">
        <v>204</v>
      </c>
      <c r="I9" s="3">
        <v>120</v>
      </c>
      <c r="J9" s="6">
        <v>43136</v>
      </c>
      <c r="K9" s="3">
        <v>181</v>
      </c>
      <c r="L9" s="5">
        <v>0.4861111111111111</v>
      </c>
      <c r="M9" t="s">
        <v>82</v>
      </c>
    </row>
    <row r="10" spans="1:13" x14ac:dyDescent="0.3">
      <c r="A10" t="s">
        <v>14</v>
      </c>
      <c r="B10" t="s">
        <v>204</v>
      </c>
      <c r="C10" s="3">
        <v>9671602033</v>
      </c>
      <c r="D10" t="s">
        <v>104</v>
      </c>
      <c r="E10" t="s">
        <v>167</v>
      </c>
      <c r="F10" s="3">
        <v>370</v>
      </c>
      <c r="G10" t="s">
        <v>170</v>
      </c>
      <c r="H10" t="s">
        <v>175</v>
      </c>
      <c r="I10" s="3">
        <v>150</v>
      </c>
      <c r="J10" s="6">
        <v>43188</v>
      </c>
      <c r="K10" s="3">
        <v>500</v>
      </c>
      <c r="L10" s="5">
        <v>0.48958333333333331</v>
      </c>
      <c r="M10" t="s">
        <v>82</v>
      </c>
    </row>
    <row r="11" spans="1:13" x14ac:dyDescent="0.3">
      <c r="A11" t="s">
        <v>181</v>
      </c>
      <c r="B11" t="s">
        <v>78</v>
      </c>
      <c r="C11" s="3">
        <v>777063935</v>
      </c>
      <c r="D11" t="s">
        <v>88</v>
      </c>
      <c r="E11" t="s">
        <v>167</v>
      </c>
      <c r="F11" s="3">
        <v>885</v>
      </c>
      <c r="G11" t="s">
        <v>172</v>
      </c>
      <c r="H11" t="s">
        <v>174</v>
      </c>
      <c r="I11" s="3">
        <v>140</v>
      </c>
      <c r="J11" s="6">
        <v>43298</v>
      </c>
      <c r="K11" s="3">
        <v>1600</v>
      </c>
      <c r="L11" s="5">
        <v>0.49305555555555558</v>
      </c>
      <c r="M11" t="s">
        <v>83</v>
      </c>
    </row>
    <row r="12" spans="1:13" x14ac:dyDescent="0.3">
      <c r="A12" t="s">
        <v>15</v>
      </c>
      <c r="B12" t="s">
        <v>79</v>
      </c>
      <c r="C12" s="3">
        <v>9446055414</v>
      </c>
      <c r="D12" t="s">
        <v>208</v>
      </c>
      <c r="E12" t="s">
        <v>167</v>
      </c>
      <c r="F12" s="3">
        <v>480</v>
      </c>
      <c r="G12" t="s">
        <v>169</v>
      </c>
      <c r="H12" t="s">
        <v>176</v>
      </c>
      <c r="I12" s="3">
        <v>200</v>
      </c>
      <c r="J12" s="6">
        <v>43446</v>
      </c>
      <c r="K12" s="3">
        <v>500</v>
      </c>
      <c r="L12" s="5">
        <v>0.49652777777777773</v>
      </c>
      <c r="M12" t="s">
        <v>83</v>
      </c>
    </row>
    <row r="13" spans="1:13" x14ac:dyDescent="0.3">
      <c r="A13" t="s">
        <v>16</v>
      </c>
      <c r="B13" t="s">
        <v>80</v>
      </c>
      <c r="C13" s="3">
        <v>6579979894</v>
      </c>
      <c r="D13" t="s">
        <v>105</v>
      </c>
      <c r="E13" t="s">
        <v>168</v>
      </c>
      <c r="F13" s="3">
        <v>942</v>
      </c>
      <c r="G13" t="s">
        <v>170</v>
      </c>
      <c r="H13" t="s">
        <v>173</v>
      </c>
      <c r="I13" s="3">
        <v>150</v>
      </c>
      <c r="J13" s="6">
        <v>43413</v>
      </c>
      <c r="K13" s="3">
        <v>600</v>
      </c>
      <c r="L13" s="5">
        <v>0.5</v>
      </c>
      <c r="M13" t="s">
        <v>83</v>
      </c>
    </row>
    <row r="14" spans="1:13" x14ac:dyDescent="0.3">
      <c r="A14" t="s">
        <v>178</v>
      </c>
      <c r="B14" t="s">
        <v>80</v>
      </c>
      <c r="C14" s="3">
        <v>1032274597</v>
      </c>
      <c r="D14" t="s">
        <v>207</v>
      </c>
      <c r="E14" t="s">
        <v>168</v>
      </c>
      <c r="F14" s="3">
        <v>161</v>
      </c>
      <c r="G14" t="s">
        <v>172</v>
      </c>
      <c r="H14" t="s">
        <v>174</v>
      </c>
      <c r="I14" s="3">
        <v>140</v>
      </c>
      <c r="J14" s="6">
        <v>43233</v>
      </c>
      <c r="K14" s="3">
        <v>267</v>
      </c>
      <c r="L14" s="5">
        <v>0.50347222222222221</v>
      </c>
      <c r="M14" t="s">
        <v>83</v>
      </c>
    </row>
    <row r="15" spans="1:13" x14ac:dyDescent="0.3">
      <c r="A15" t="s">
        <v>17</v>
      </c>
      <c r="B15" t="s">
        <v>79</v>
      </c>
      <c r="C15" s="3">
        <v>7381285565</v>
      </c>
      <c r="D15" t="s">
        <v>89</v>
      </c>
      <c r="E15" t="s">
        <v>167</v>
      </c>
      <c r="F15" s="3">
        <v>486</v>
      </c>
      <c r="G15" t="s">
        <v>171</v>
      </c>
      <c r="H15" t="s">
        <v>173</v>
      </c>
      <c r="I15" s="3">
        <v>120</v>
      </c>
      <c r="J15" s="6">
        <v>43379</v>
      </c>
      <c r="K15" s="3">
        <v>800</v>
      </c>
      <c r="L15" s="5">
        <v>0.50694444444444442</v>
      </c>
      <c r="M15" t="s">
        <v>83</v>
      </c>
    </row>
    <row r="16" spans="1:13" x14ac:dyDescent="0.3">
      <c r="A16" t="s">
        <v>182</v>
      </c>
      <c r="B16" t="s">
        <v>79</v>
      </c>
      <c r="C16" s="3">
        <v>7034071342</v>
      </c>
      <c r="D16" t="s">
        <v>209</v>
      </c>
      <c r="E16" t="s">
        <v>167</v>
      </c>
      <c r="F16" s="3">
        <v>515</v>
      </c>
      <c r="G16" t="s">
        <v>169</v>
      </c>
      <c r="H16" t="s">
        <v>176</v>
      </c>
      <c r="I16" s="3">
        <v>200</v>
      </c>
      <c r="J16" s="6">
        <v>43350</v>
      </c>
      <c r="K16" s="3">
        <v>500</v>
      </c>
      <c r="L16" s="5">
        <v>0.51736111111111105</v>
      </c>
      <c r="M16" t="s">
        <v>82</v>
      </c>
    </row>
    <row r="17" spans="1:13" x14ac:dyDescent="0.3">
      <c r="A17" t="s">
        <v>183</v>
      </c>
      <c r="B17" t="s">
        <v>81</v>
      </c>
      <c r="C17" s="3" t="s">
        <v>204</v>
      </c>
      <c r="D17" t="s">
        <v>106</v>
      </c>
      <c r="E17" t="s">
        <v>167</v>
      </c>
      <c r="F17" s="3">
        <v>295</v>
      </c>
      <c r="G17" t="s">
        <v>170</v>
      </c>
      <c r="H17" t="s">
        <v>173</v>
      </c>
      <c r="I17" s="3">
        <v>150</v>
      </c>
      <c r="J17" s="6">
        <v>43289</v>
      </c>
      <c r="K17" s="3">
        <v>700</v>
      </c>
      <c r="L17" s="5">
        <v>0.52083333333333337</v>
      </c>
      <c r="M17" t="s">
        <v>82</v>
      </c>
    </row>
    <row r="18" spans="1:13" x14ac:dyDescent="0.3">
      <c r="A18" t="s">
        <v>18</v>
      </c>
      <c r="B18" t="s">
        <v>81</v>
      </c>
      <c r="C18" s="3">
        <v>9716982309</v>
      </c>
      <c r="D18" t="s">
        <v>141</v>
      </c>
      <c r="E18" t="s">
        <v>167</v>
      </c>
      <c r="F18" s="3">
        <v>200</v>
      </c>
      <c r="G18" t="s">
        <v>169</v>
      </c>
      <c r="H18" t="s">
        <v>174</v>
      </c>
      <c r="I18" s="3">
        <v>200</v>
      </c>
      <c r="J18" s="6">
        <v>43161</v>
      </c>
      <c r="K18" s="3">
        <v>1600</v>
      </c>
      <c r="L18" s="5">
        <v>0.52430555555555558</v>
      </c>
      <c r="M18" t="s">
        <v>82</v>
      </c>
    </row>
    <row r="19" spans="1:13" x14ac:dyDescent="0.3">
      <c r="A19" t="s">
        <v>19</v>
      </c>
      <c r="B19" t="s">
        <v>204</v>
      </c>
      <c r="C19" s="3">
        <v>7722885079</v>
      </c>
      <c r="D19" t="s">
        <v>121</v>
      </c>
      <c r="E19" t="s">
        <v>168</v>
      </c>
      <c r="F19" s="3">
        <v>326</v>
      </c>
      <c r="G19" t="s">
        <v>171</v>
      </c>
      <c r="H19" t="s">
        <v>176</v>
      </c>
      <c r="I19" s="3">
        <v>120</v>
      </c>
      <c r="J19" s="6">
        <v>43234</v>
      </c>
      <c r="K19" s="3">
        <v>1600</v>
      </c>
      <c r="L19" s="5">
        <v>0.52777777777777779</v>
      </c>
      <c r="M19" t="s">
        <v>82</v>
      </c>
    </row>
    <row r="20" spans="1:13" x14ac:dyDescent="0.3">
      <c r="A20" t="s">
        <v>184</v>
      </c>
      <c r="B20" t="s">
        <v>78</v>
      </c>
      <c r="C20" s="3">
        <v>3708983713</v>
      </c>
      <c r="D20" t="s">
        <v>90</v>
      </c>
      <c r="E20" t="s">
        <v>168</v>
      </c>
      <c r="F20" s="3">
        <v>482</v>
      </c>
      <c r="G20" t="s">
        <v>172</v>
      </c>
      <c r="H20" t="s">
        <v>173</v>
      </c>
      <c r="I20" s="3">
        <v>140</v>
      </c>
      <c r="J20" s="6">
        <v>43185</v>
      </c>
      <c r="K20" s="3">
        <v>1000</v>
      </c>
      <c r="L20" s="5">
        <v>0.53125</v>
      </c>
      <c r="M20" t="s">
        <v>82</v>
      </c>
    </row>
    <row r="21" spans="1:13" x14ac:dyDescent="0.3">
      <c r="A21" t="s">
        <v>20</v>
      </c>
      <c r="B21" t="s">
        <v>81</v>
      </c>
      <c r="C21" s="3">
        <v>1369353147</v>
      </c>
      <c r="D21" t="s">
        <v>142</v>
      </c>
      <c r="E21" t="s">
        <v>167</v>
      </c>
      <c r="F21" s="3">
        <v>503</v>
      </c>
      <c r="G21" t="s">
        <v>169</v>
      </c>
      <c r="H21" t="s">
        <v>174</v>
      </c>
      <c r="I21" s="3">
        <v>200</v>
      </c>
      <c r="J21" s="6">
        <v>43318</v>
      </c>
      <c r="K21" s="3">
        <v>1600</v>
      </c>
      <c r="L21" s="5">
        <v>0.53472222222222221</v>
      </c>
      <c r="M21" t="s">
        <v>82</v>
      </c>
    </row>
    <row r="22" spans="1:13" x14ac:dyDescent="0.3">
      <c r="A22" t="s">
        <v>21</v>
      </c>
      <c r="B22" t="s">
        <v>79</v>
      </c>
      <c r="C22" s="3">
        <v>1985722057</v>
      </c>
      <c r="D22" t="s">
        <v>91</v>
      </c>
      <c r="E22" t="s">
        <v>167</v>
      </c>
      <c r="F22" s="3">
        <v>779</v>
      </c>
      <c r="G22" t="s">
        <v>170</v>
      </c>
      <c r="H22" t="s">
        <v>175</v>
      </c>
      <c r="I22" s="3">
        <v>150</v>
      </c>
      <c r="J22" s="6">
        <v>43267</v>
      </c>
      <c r="K22" s="3">
        <v>1100</v>
      </c>
      <c r="L22" s="5">
        <v>0.53819444444444442</v>
      </c>
      <c r="M22" t="s">
        <v>83</v>
      </c>
    </row>
    <row r="23" spans="1:13" x14ac:dyDescent="0.3">
      <c r="A23" t="s">
        <v>22</v>
      </c>
      <c r="B23" t="s">
        <v>80</v>
      </c>
      <c r="C23" s="3">
        <v>7761526376</v>
      </c>
      <c r="D23" t="s">
        <v>140</v>
      </c>
      <c r="E23" t="s">
        <v>167</v>
      </c>
      <c r="F23" s="3">
        <v>965</v>
      </c>
      <c r="G23" t="s">
        <v>172</v>
      </c>
      <c r="H23" t="s">
        <v>173</v>
      </c>
      <c r="I23" s="3">
        <v>140</v>
      </c>
      <c r="J23" s="6">
        <v>43158</v>
      </c>
      <c r="K23" s="3">
        <v>1600</v>
      </c>
      <c r="L23" s="5">
        <v>0.54166666666666663</v>
      </c>
      <c r="M23" t="s">
        <v>82</v>
      </c>
    </row>
    <row r="24" spans="1:13" x14ac:dyDescent="0.3">
      <c r="A24" t="s">
        <v>23</v>
      </c>
      <c r="B24" t="s">
        <v>78</v>
      </c>
      <c r="C24" s="3" t="s">
        <v>204</v>
      </c>
      <c r="D24" t="s">
        <v>210</v>
      </c>
      <c r="E24" t="s">
        <v>168</v>
      </c>
      <c r="F24" s="3">
        <v>396</v>
      </c>
      <c r="G24" t="s">
        <v>171</v>
      </c>
      <c r="H24" t="s">
        <v>174</v>
      </c>
      <c r="I24" s="3">
        <v>120</v>
      </c>
      <c r="J24" s="6">
        <v>43322</v>
      </c>
      <c r="K24" s="3">
        <v>1600</v>
      </c>
      <c r="L24" s="5">
        <v>0.54513888888888895</v>
      </c>
      <c r="M24" t="s">
        <v>83</v>
      </c>
    </row>
    <row r="25" spans="1:13" x14ac:dyDescent="0.3">
      <c r="A25" t="s">
        <v>185</v>
      </c>
      <c r="B25" t="s">
        <v>204</v>
      </c>
      <c r="C25" s="3">
        <v>4840789619</v>
      </c>
      <c r="D25" t="s">
        <v>92</v>
      </c>
      <c r="E25" t="s">
        <v>167</v>
      </c>
      <c r="F25" s="3">
        <v>672</v>
      </c>
      <c r="G25" t="s">
        <v>169</v>
      </c>
      <c r="H25" t="s">
        <v>176</v>
      </c>
      <c r="I25" s="3">
        <v>200</v>
      </c>
      <c r="J25" s="6">
        <v>43189</v>
      </c>
      <c r="K25" s="3">
        <v>1000</v>
      </c>
      <c r="L25" s="5">
        <v>0.54861111111111105</v>
      </c>
      <c r="M25" t="s">
        <v>83</v>
      </c>
    </row>
    <row r="26" spans="1:13" x14ac:dyDescent="0.3">
      <c r="A26" t="s">
        <v>24</v>
      </c>
      <c r="B26" t="s">
        <v>78</v>
      </c>
      <c r="C26" s="3">
        <v>5568969570</v>
      </c>
      <c r="D26" t="s">
        <v>139</v>
      </c>
      <c r="E26" t="s">
        <v>168</v>
      </c>
      <c r="F26" s="3">
        <v>281</v>
      </c>
      <c r="G26" t="s">
        <v>172</v>
      </c>
      <c r="H26" t="s">
        <v>174</v>
      </c>
      <c r="I26" s="3">
        <v>140</v>
      </c>
      <c r="J26" s="6">
        <v>43300</v>
      </c>
      <c r="K26" s="3">
        <v>1600</v>
      </c>
      <c r="L26" s="5">
        <v>0.55208333333333337</v>
      </c>
      <c r="M26" t="s">
        <v>83</v>
      </c>
    </row>
    <row r="27" spans="1:13" x14ac:dyDescent="0.3">
      <c r="A27" t="s">
        <v>39</v>
      </c>
      <c r="B27" t="s">
        <v>80</v>
      </c>
      <c r="C27" s="3">
        <v>7280083086</v>
      </c>
      <c r="D27" t="s">
        <v>137</v>
      </c>
      <c r="E27" t="s">
        <v>167</v>
      </c>
      <c r="F27" s="3">
        <v>150</v>
      </c>
      <c r="G27" t="s">
        <v>172</v>
      </c>
      <c r="H27" t="s">
        <v>174</v>
      </c>
      <c r="I27" s="3">
        <v>140</v>
      </c>
      <c r="J27" s="6">
        <v>43739</v>
      </c>
      <c r="K27" s="3">
        <v>1600</v>
      </c>
      <c r="L27" s="5">
        <v>0.63194444444444442</v>
      </c>
      <c r="M27" t="s">
        <v>82</v>
      </c>
    </row>
    <row r="28" spans="1:13" x14ac:dyDescent="0.3">
      <c r="A28" t="s">
        <v>186</v>
      </c>
      <c r="B28" t="s">
        <v>79</v>
      </c>
      <c r="C28" s="3">
        <v>1491564415</v>
      </c>
      <c r="D28" t="s">
        <v>118</v>
      </c>
      <c r="E28" t="s">
        <v>168</v>
      </c>
      <c r="F28" s="3">
        <v>935</v>
      </c>
      <c r="G28" t="s">
        <v>171</v>
      </c>
      <c r="H28" t="s">
        <v>176</v>
      </c>
      <c r="I28" s="3">
        <v>120</v>
      </c>
      <c r="J28" s="6">
        <v>43650</v>
      </c>
      <c r="K28" s="3">
        <v>1100</v>
      </c>
      <c r="L28" s="5">
        <v>0.63541666666666663</v>
      </c>
      <c r="M28" t="s">
        <v>83</v>
      </c>
    </row>
    <row r="29" spans="1:13" x14ac:dyDescent="0.3">
      <c r="A29" t="s">
        <v>187</v>
      </c>
      <c r="B29" t="s">
        <v>81</v>
      </c>
      <c r="C29" s="3" t="s">
        <v>204</v>
      </c>
      <c r="D29" t="s">
        <v>93</v>
      </c>
      <c r="E29" t="s">
        <v>167</v>
      </c>
      <c r="F29" s="3">
        <v>186</v>
      </c>
      <c r="G29" t="s">
        <v>169</v>
      </c>
      <c r="H29" t="s">
        <v>176</v>
      </c>
      <c r="I29" s="3">
        <v>200</v>
      </c>
      <c r="J29" s="6">
        <v>43455</v>
      </c>
      <c r="K29" s="3">
        <v>600</v>
      </c>
      <c r="L29" s="5">
        <v>0.56597222222222221</v>
      </c>
      <c r="M29" t="s">
        <v>82</v>
      </c>
    </row>
    <row r="30" spans="1:13" x14ac:dyDescent="0.3">
      <c r="A30" t="s">
        <v>25</v>
      </c>
      <c r="B30" t="s">
        <v>81</v>
      </c>
      <c r="C30" s="3">
        <v>5705396215</v>
      </c>
      <c r="D30" t="s">
        <v>211</v>
      </c>
      <c r="E30" t="s">
        <v>168</v>
      </c>
      <c r="F30" s="3">
        <v>799</v>
      </c>
      <c r="G30" t="s">
        <v>170</v>
      </c>
      <c r="H30" t="s">
        <v>173</v>
      </c>
      <c r="I30" s="3">
        <v>150</v>
      </c>
      <c r="J30" s="6">
        <v>43256</v>
      </c>
      <c r="K30" s="3">
        <v>600</v>
      </c>
      <c r="L30" s="5">
        <v>0.56944444444444442</v>
      </c>
      <c r="M30" t="s">
        <v>83</v>
      </c>
    </row>
    <row r="31" spans="1:13" x14ac:dyDescent="0.3">
      <c r="A31" t="s">
        <v>188</v>
      </c>
      <c r="B31" t="s">
        <v>78</v>
      </c>
      <c r="C31" s="3">
        <v>6868577122</v>
      </c>
      <c r="D31" t="s">
        <v>108</v>
      </c>
      <c r="E31" t="s">
        <v>167</v>
      </c>
      <c r="F31" s="3">
        <v>865</v>
      </c>
      <c r="G31" t="s">
        <v>172</v>
      </c>
      <c r="H31" t="s">
        <v>173</v>
      </c>
      <c r="I31" s="3">
        <v>140</v>
      </c>
      <c r="J31" s="6">
        <v>43151</v>
      </c>
      <c r="K31" s="3">
        <v>700</v>
      </c>
      <c r="L31" s="5">
        <v>0.57291666666666663</v>
      </c>
      <c r="M31" t="s">
        <v>82</v>
      </c>
    </row>
    <row r="32" spans="1:13" x14ac:dyDescent="0.3">
      <c r="A32" t="s">
        <v>26</v>
      </c>
      <c r="B32" t="s">
        <v>81</v>
      </c>
      <c r="C32" s="3">
        <v>2850723051</v>
      </c>
      <c r="D32" t="s">
        <v>143</v>
      </c>
      <c r="E32" t="s">
        <v>168</v>
      </c>
      <c r="F32" s="3">
        <v>469</v>
      </c>
      <c r="G32" t="s">
        <v>171</v>
      </c>
      <c r="H32" t="s">
        <v>174</v>
      </c>
      <c r="I32" s="3">
        <v>120</v>
      </c>
      <c r="J32" s="6">
        <v>43166</v>
      </c>
      <c r="K32" s="3">
        <v>400</v>
      </c>
      <c r="L32" s="5">
        <v>0.57638888888888895</v>
      </c>
      <c r="M32" t="s">
        <v>82</v>
      </c>
    </row>
    <row r="33" spans="1:13" x14ac:dyDescent="0.3">
      <c r="A33" t="s">
        <v>189</v>
      </c>
      <c r="B33" t="s">
        <v>79</v>
      </c>
      <c r="C33" s="3">
        <v>5064106912</v>
      </c>
      <c r="D33" t="s">
        <v>122</v>
      </c>
      <c r="E33" t="s">
        <v>168</v>
      </c>
      <c r="F33" s="3">
        <v>607</v>
      </c>
      <c r="G33" t="s">
        <v>170</v>
      </c>
      <c r="H33" t="s">
        <v>176</v>
      </c>
      <c r="I33" s="3">
        <v>150</v>
      </c>
      <c r="J33" s="6">
        <v>43197</v>
      </c>
      <c r="K33" s="3">
        <v>370</v>
      </c>
      <c r="L33" s="5">
        <v>0.57986111111111105</v>
      </c>
      <c r="M33" t="s">
        <v>82</v>
      </c>
    </row>
    <row r="34" spans="1:13" x14ac:dyDescent="0.3">
      <c r="A34" t="s">
        <v>27</v>
      </c>
      <c r="B34" t="s">
        <v>81</v>
      </c>
      <c r="C34" s="3">
        <v>3227769230</v>
      </c>
      <c r="D34" t="s">
        <v>94</v>
      </c>
      <c r="E34" t="s">
        <v>167</v>
      </c>
      <c r="F34" s="3">
        <v>950</v>
      </c>
      <c r="G34" t="s">
        <v>172</v>
      </c>
      <c r="H34" t="s">
        <v>174</v>
      </c>
      <c r="I34" s="3">
        <v>140</v>
      </c>
      <c r="J34" s="6">
        <v>43756</v>
      </c>
      <c r="K34" s="3">
        <v>400</v>
      </c>
      <c r="L34" s="5">
        <v>0.58333333333333337</v>
      </c>
      <c r="M34" t="s">
        <v>83</v>
      </c>
    </row>
    <row r="35" spans="1:13" x14ac:dyDescent="0.3">
      <c r="A35" t="s">
        <v>28</v>
      </c>
      <c r="B35" t="s">
        <v>80</v>
      </c>
      <c r="C35" s="3">
        <v>4489137965</v>
      </c>
      <c r="D35" t="s">
        <v>163</v>
      </c>
      <c r="E35" t="s">
        <v>167</v>
      </c>
      <c r="F35" s="3">
        <v>353</v>
      </c>
      <c r="G35" t="s">
        <v>169</v>
      </c>
      <c r="H35" t="s">
        <v>173</v>
      </c>
      <c r="I35" s="3">
        <v>200</v>
      </c>
      <c r="J35" s="6">
        <v>43490</v>
      </c>
      <c r="K35" s="3">
        <v>180</v>
      </c>
      <c r="L35" s="5">
        <v>0.58680555555555558</v>
      </c>
      <c r="M35" t="s">
        <v>82</v>
      </c>
    </row>
    <row r="36" spans="1:13" x14ac:dyDescent="0.3">
      <c r="A36" t="s">
        <v>29</v>
      </c>
      <c r="B36" t="s">
        <v>79</v>
      </c>
      <c r="C36" s="3">
        <v>1442788630</v>
      </c>
      <c r="D36" t="s">
        <v>107</v>
      </c>
      <c r="E36" t="s">
        <v>167</v>
      </c>
      <c r="F36" s="3">
        <v>651</v>
      </c>
      <c r="G36" t="s">
        <v>170</v>
      </c>
      <c r="H36" t="s">
        <v>174</v>
      </c>
      <c r="I36" s="3">
        <v>150</v>
      </c>
      <c r="J36" s="6">
        <v>43653</v>
      </c>
      <c r="K36" s="3">
        <v>500</v>
      </c>
      <c r="L36" s="5">
        <v>0.59027777777777779</v>
      </c>
      <c r="M36" t="s">
        <v>83</v>
      </c>
    </row>
    <row r="37" spans="1:13" x14ac:dyDescent="0.3">
      <c r="A37" t="s">
        <v>190</v>
      </c>
      <c r="B37" t="s">
        <v>78</v>
      </c>
      <c r="C37" s="3">
        <v>6660155844</v>
      </c>
      <c r="D37" t="s">
        <v>164</v>
      </c>
      <c r="E37" t="s">
        <v>167</v>
      </c>
      <c r="F37" s="3">
        <v>486</v>
      </c>
      <c r="G37" t="s">
        <v>171</v>
      </c>
      <c r="H37" t="s">
        <v>176</v>
      </c>
      <c r="I37" s="3">
        <v>120</v>
      </c>
      <c r="J37" s="6">
        <v>43621</v>
      </c>
      <c r="K37" s="3">
        <v>1600</v>
      </c>
      <c r="L37" s="5">
        <v>0.59375</v>
      </c>
      <c r="M37" t="s">
        <v>82</v>
      </c>
    </row>
    <row r="38" spans="1:13" x14ac:dyDescent="0.3">
      <c r="A38" t="s">
        <v>30</v>
      </c>
      <c r="B38" t="s">
        <v>81</v>
      </c>
      <c r="C38" s="3">
        <v>3847031717</v>
      </c>
      <c r="D38" t="s">
        <v>138</v>
      </c>
      <c r="E38" t="s">
        <v>168</v>
      </c>
      <c r="F38" s="3">
        <v>226</v>
      </c>
      <c r="G38" t="s">
        <v>169</v>
      </c>
      <c r="H38" t="s">
        <v>174</v>
      </c>
      <c r="I38" s="3">
        <v>200</v>
      </c>
      <c r="J38" s="6">
        <v>43482</v>
      </c>
      <c r="K38" s="3">
        <v>500</v>
      </c>
      <c r="L38" s="5">
        <v>0.59722222222222221</v>
      </c>
      <c r="M38" t="s">
        <v>83</v>
      </c>
    </row>
    <row r="39" spans="1:13" x14ac:dyDescent="0.3">
      <c r="A39" t="s">
        <v>31</v>
      </c>
      <c r="B39" t="s">
        <v>81</v>
      </c>
      <c r="C39" s="3">
        <v>7230743292</v>
      </c>
      <c r="D39" t="s">
        <v>119</v>
      </c>
      <c r="E39" t="s">
        <v>168</v>
      </c>
      <c r="F39" s="3">
        <v>195</v>
      </c>
      <c r="G39" t="s">
        <v>170</v>
      </c>
      <c r="H39" t="s">
        <v>204</v>
      </c>
      <c r="I39" s="3">
        <v>150</v>
      </c>
      <c r="J39" s="6">
        <v>43467</v>
      </c>
      <c r="K39" s="3">
        <v>600</v>
      </c>
      <c r="L39" s="5">
        <v>0.60416666666666663</v>
      </c>
      <c r="M39" t="s">
        <v>83</v>
      </c>
    </row>
    <row r="40" spans="1:13" x14ac:dyDescent="0.3">
      <c r="A40" t="s">
        <v>32</v>
      </c>
      <c r="B40" t="s">
        <v>78</v>
      </c>
      <c r="C40" s="3">
        <v>2674814446</v>
      </c>
      <c r="D40" t="s">
        <v>165</v>
      </c>
      <c r="E40" t="s">
        <v>167</v>
      </c>
      <c r="F40" s="3">
        <v>429</v>
      </c>
      <c r="G40" t="s">
        <v>172</v>
      </c>
      <c r="H40" t="s">
        <v>175</v>
      </c>
      <c r="I40" s="3">
        <v>140</v>
      </c>
      <c r="J40" s="6">
        <v>43795</v>
      </c>
      <c r="K40" s="3">
        <v>270</v>
      </c>
      <c r="L40" s="5">
        <v>0.60763888888888895</v>
      </c>
      <c r="M40" t="s">
        <v>83</v>
      </c>
    </row>
    <row r="41" spans="1:13" x14ac:dyDescent="0.3">
      <c r="A41" t="s">
        <v>33</v>
      </c>
      <c r="B41" t="s">
        <v>79</v>
      </c>
      <c r="C41" s="3">
        <v>3617529102</v>
      </c>
      <c r="D41" t="s">
        <v>212</v>
      </c>
      <c r="E41" t="s">
        <v>168</v>
      </c>
      <c r="F41" s="3">
        <v>299</v>
      </c>
      <c r="G41" t="s">
        <v>171</v>
      </c>
      <c r="H41" t="s">
        <v>174</v>
      </c>
      <c r="I41" s="3">
        <v>120</v>
      </c>
      <c r="J41" s="6">
        <v>43507</v>
      </c>
      <c r="K41" s="3">
        <v>800</v>
      </c>
      <c r="L41" s="5">
        <v>0.61111111111111105</v>
      </c>
      <c r="M41" t="s">
        <v>83</v>
      </c>
    </row>
    <row r="42" spans="1:13" x14ac:dyDescent="0.3">
      <c r="A42" t="s">
        <v>34</v>
      </c>
      <c r="B42" t="s">
        <v>81</v>
      </c>
      <c r="C42" s="3">
        <v>9811710783</v>
      </c>
      <c r="D42" t="s">
        <v>109</v>
      </c>
      <c r="E42" t="s">
        <v>167</v>
      </c>
      <c r="F42" s="3">
        <v>218</v>
      </c>
      <c r="G42" t="s">
        <v>170</v>
      </c>
      <c r="H42" t="s">
        <v>176</v>
      </c>
      <c r="I42" s="3">
        <v>150</v>
      </c>
      <c r="J42" s="6">
        <v>43570</v>
      </c>
      <c r="K42" s="3">
        <v>500</v>
      </c>
      <c r="L42" s="5">
        <v>0.61458333333333337</v>
      </c>
      <c r="M42" t="s">
        <v>83</v>
      </c>
    </row>
    <row r="43" spans="1:13" x14ac:dyDescent="0.3">
      <c r="A43" t="s">
        <v>35</v>
      </c>
      <c r="B43" t="s">
        <v>78</v>
      </c>
      <c r="C43" s="3">
        <v>1484055936</v>
      </c>
      <c r="D43" t="s">
        <v>160</v>
      </c>
      <c r="E43" t="s">
        <v>167</v>
      </c>
      <c r="F43" s="3">
        <v>5</v>
      </c>
      <c r="G43" t="s">
        <v>171</v>
      </c>
      <c r="H43" t="s">
        <v>173</v>
      </c>
      <c r="I43" s="3">
        <v>120</v>
      </c>
      <c r="J43" s="6">
        <v>43543</v>
      </c>
      <c r="K43" s="3">
        <v>700</v>
      </c>
      <c r="L43" s="5">
        <v>0.61805555555555558</v>
      </c>
      <c r="M43" t="s">
        <v>83</v>
      </c>
    </row>
    <row r="44" spans="1:13" x14ac:dyDescent="0.3">
      <c r="A44" t="s">
        <v>36</v>
      </c>
      <c r="B44" t="s">
        <v>79</v>
      </c>
      <c r="C44" s="3">
        <v>1818430323</v>
      </c>
      <c r="D44" t="s">
        <v>161</v>
      </c>
      <c r="E44" t="s">
        <v>167</v>
      </c>
      <c r="F44" s="3">
        <v>64</v>
      </c>
      <c r="G44" t="s">
        <v>172</v>
      </c>
      <c r="H44" t="s">
        <v>174</v>
      </c>
      <c r="I44" s="3">
        <v>140</v>
      </c>
      <c r="J44" s="6">
        <v>43579</v>
      </c>
      <c r="K44" s="3">
        <v>1600</v>
      </c>
      <c r="L44" s="5">
        <v>0.62152777777777779</v>
      </c>
      <c r="M44" t="s">
        <v>82</v>
      </c>
    </row>
    <row r="45" spans="1:13" x14ac:dyDescent="0.3">
      <c r="A45" t="s">
        <v>37</v>
      </c>
      <c r="B45" t="s">
        <v>78</v>
      </c>
      <c r="C45" s="3">
        <v>2753885103</v>
      </c>
      <c r="D45" t="s">
        <v>129</v>
      </c>
      <c r="E45" t="s">
        <v>168</v>
      </c>
      <c r="F45" s="3">
        <v>294</v>
      </c>
      <c r="G45" t="s">
        <v>169</v>
      </c>
      <c r="H45" t="s">
        <v>173</v>
      </c>
      <c r="I45" s="3">
        <v>200</v>
      </c>
      <c r="J45" s="6">
        <v>43656</v>
      </c>
      <c r="K45" s="3">
        <v>1600</v>
      </c>
      <c r="L45" s="5">
        <v>0.625</v>
      </c>
      <c r="M45" t="s">
        <v>82</v>
      </c>
    </row>
    <row r="46" spans="1:13" x14ac:dyDescent="0.3">
      <c r="A46" t="s">
        <v>38</v>
      </c>
      <c r="B46" t="s">
        <v>81</v>
      </c>
      <c r="C46" s="3">
        <v>3430744725</v>
      </c>
      <c r="D46" t="s">
        <v>162</v>
      </c>
      <c r="E46" t="s">
        <v>168</v>
      </c>
      <c r="F46" s="3">
        <v>616</v>
      </c>
      <c r="G46" t="s">
        <v>170</v>
      </c>
      <c r="H46" t="s">
        <v>175</v>
      </c>
      <c r="I46" s="3">
        <v>150</v>
      </c>
      <c r="J46" s="6">
        <v>43731</v>
      </c>
      <c r="K46" s="3">
        <v>1000</v>
      </c>
      <c r="L46" s="5">
        <v>0.62847222222222221</v>
      </c>
      <c r="M46" t="s">
        <v>83</v>
      </c>
    </row>
    <row r="47" spans="1:13" x14ac:dyDescent="0.3">
      <c r="A47" t="s">
        <v>39</v>
      </c>
      <c r="B47" t="s">
        <v>80</v>
      </c>
      <c r="C47" s="3">
        <v>7280083086</v>
      </c>
      <c r="D47" t="s">
        <v>137</v>
      </c>
      <c r="E47" t="s">
        <v>167</v>
      </c>
      <c r="F47" s="3">
        <v>150</v>
      </c>
      <c r="G47" t="s">
        <v>172</v>
      </c>
      <c r="H47" t="s">
        <v>174</v>
      </c>
      <c r="I47" s="3">
        <v>140</v>
      </c>
      <c r="J47" s="6">
        <v>43739</v>
      </c>
      <c r="K47" s="3">
        <v>1600</v>
      </c>
      <c r="L47" s="5">
        <v>0.63194444444444442</v>
      </c>
      <c r="M47" t="s">
        <v>82</v>
      </c>
    </row>
    <row r="48" spans="1:13" x14ac:dyDescent="0.3">
      <c r="A48" t="s">
        <v>186</v>
      </c>
      <c r="B48" t="s">
        <v>79</v>
      </c>
      <c r="C48" s="3">
        <v>1491564415</v>
      </c>
      <c r="D48" t="s">
        <v>118</v>
      </c>
      <c r="E48" t="s">
        <v>168</v>
      </c>
      <c r="F48" s="3">
        <v>935</v>
      </c>
      <c r="G48" t="s">
        <v>171</v>
      </c>
      <c r="H48" t="s">
        <v>176</v>
      </c>
      <c r="I48" s="3">
        <v>120</v>
      </c>
      <c r="J48" s="6">
        <v>43650</v>
      </c>
      <c r="K48" s="3">
        <v>1100</v>
      </c>
      <c r="L48" s="5">
        <v>0.63541666666666663</v>
      </c>
      <c r="M48" t="s">
        <v>83</v>
      </c>
    </row>
    <row r="49" spans="1:13" x14ac:dyDescent="0.3">
      <c r="A49" t="s">
        <v>40</v>
      </c>
      <c r="B49" t="s">
        <v>81</v>
      </c>
      <c r="C49" s="3">
        <v>2975727463</v>
      </c>
      <c r="D49" t="s">
        <v>159</v>
      </c>
      <c r="E49" t="s">
        <v>167</v>
      </c>
      <c r="F49" s="3">
        <v>725</v>
      </c>
      <c r="G49" t="s">
        <v>170</v>
      </c>
      <c r="H49" t="s">
        <v>173</v>
      </c>
      <c r="I49" s="3">
        <v>150</v>
      </c>
      <c r="J49" s="6">
        <v>43607</v>
      </c>
      <c r="K49" s="3">
        <v>700</v>
      </c>
      <c r="L49" s="5">
        <v>0.63888888888888895</v>
      </c>
      <c r="M49" t="s">
        <v>82</v>
      </c>
    </row>
    <row r="50" spans="1:13" x14ac:dyDescent="0.3">
      <c r="A50" t="s">
        <v>41</v>
      </c>
      <c r="B50" t="s">
        <v>78</v>
      </c>
      <c r="C50" s="3">
        <v>6230180832</v>
      </c>
      <c r="D50" t="s">
        <v>127</v>
      </c>
      <c r="E50" t="s">
        <v>167</v>
      </c>
      <c r="F50" s="3">
        <v>420</v>
      </c>
      <c r="G50" t="s">
        <v>171</v>
      </c>
      <c r="H50" t="s">
        <v>173</v>
      </c>
      <c r="I50" s="3">
        <v>120</v>
      </c>
      <c r="J50" s="6">
        <v>43578</v>
      </c>
      <c r="K50" s="3">
        <v>600</v>
      </c>
      <c r="L50" s="5">
        <v>0.64236111111111105</v>
      </c>
      <c r="M50" t="s">
        <v>83</v>
      </c>
    </row>
    <row r="51" spans="1:13" x14ac:dyDescent="0.3">
      <c r="A51" t="s">
        <v>191</v>
      </c>
      <c r="B51" t="s">
        <v>79</v>
      </c>
      <c r="C51" s="3">
        <v>2654741588</v>
      </c>
      <c r="D51" t="s">
        <v>115</v>
      </c>
      <c r="E51" t="s">
        <v>167</v>
      </c>
      <c r="F51" s="3">
        <v>977</v>
      </c>
      <c r="G51" t="s">
        <v>169</v>
      </c>
      <c r="H51" t="s">
        <v>176</v>
      </c>
      <c r="I51" s="3">
        <v>200</v>
      </c>
      <c r="J51" s="6">
        <v>43589</v>
      </c>
      <c r="K51" s="3">
        <v>600</v>
      </c>
      <c r="L51" s="5">
        <v>0.64583333333333337</v>
      </c>
      <c r="M51" t="s">
        <v>82</v>
      </c>
    </row>
    <row r="52" spans="1:13" x14ac:dyDescent="0.3">
      <c r="A52" t="s">
        <v>42</v>
      </c>
      <c r="B52" t="s">
        <v>80</v>
      </c>
      <c r="C52" s="3">
        <v>5403352518</v>
      </c>
      <c r="D52" t="s">
        <v>156</v>
      </c>
      <c r="E52" t="s">
        <v>168</v>
      </c>
      <c r="F52" s="3">
        <v>756</v>
      </c>
      <c r="G52" t="s">
        <v>169</v>
      </c>
      <c r="H52" t="s">
        <v>174</v>
      </c>
      <c r="I52" s="3">
        <v>200</v>
      </c>
      <c r="J52" s="6">
        <v>43499</v>
      </c>
      <c r="K52" s="3">
        <v>700</v>
      </c>
      <c r="L52" s="5">
        <v>0.64930555555555558</v>
      </c>
      <c r="M52" t="s">
        <v>82</v>
      </c>
    </row>
    <row r="53" spans="1:13" x14ac:dyDescent="0.3">
      <c r="A53" t="s">
        <v>43</v>
      </c>
      <c r="B53" t="s">
        <v>78</v>
      </c>
      <c r="C53" s="3">
        <v>4120111920</v>
      </c>
      <c r="D53" t="s">
        <v>157</v>
      </c>
      <c r="E53" t="s">
        <v>167</v>
      </c>
      <c r="F53" s="3">
        <v>336</v>
      </c>
      <c r="G53" t="s">
        <v>169</v>
      </c>
      <c r="H53" t="s">
        <v>174</v>
      </c>
      <c r="I53" s="3">
        <v>200</v>
      </c>
      <c r="J53" s="6">
        <v>43574</v>
      </c>
      <c r="K53" s="3">
        <v>400</v>
      </c>
      <c r="L53" s="5">
        <v>0.65277777777777779</v>
      </c>
      <c r="M53" t="s">
        <v>83</v>
      </c>
    </row>
    <row r="54" spans="1:13" x14ac:dyDescent="0.3">
      <c r="A54" t="s">
        <v>44</v>
      </c>
      <c r="B54" t="s">
        <v>79</v>
      </c>
      <c r="C54" s="3">
        <v>6546090759</v>
      </c>
      <c r="D54" t="s">
        <v>136</v>
      </c>
      <c r="E54" t="s">
        <v>167</v>
      </c>
      <c r="F54" s="3">
        <v>568</v>
      </c>
      <c r="G54" t="s">
        <v>172</v>
      </c>
      <c r="H54" t="s">
        <v>174</v>
      </c>
      <c r="I54" s="3">
        <v>140</v>
      </c>
      <c r="J54" s="6">
        <v>43768</v>
      </c>
      <c r="K54" s="3">
        <v>370</v>
      </c>
      <c r="L54" s="5">
        <v>0.65625</v>
      </c>
      <c r="M54" t="s">
        <v>83</v>
      </c>
    </row>
    <row r="55" spans="1:13" x14ac:dyDescent="0.3">
      <c r="A55" t="s">
        <v>192</v>
      </c>
      <c r="B55" t="s">
        <v>81</v>
      </c>
      <c r="C55" s="3" t="s">
        <v>204</v>
      </c>
      <c r="D55" t="s">
        <v>101</v>
      </c>
      <c r="E55" t="s">
        <v>167</v>
      </c>
      <c r="F55" s="3">
        <v>445</v>
      </c>
      <c r="G55" t="s">
        <v>169</v>
      </c>
      <c r="H55" t="s">
        <v>174</v>
      </c>
      <c r="I55" s="3">
        <v>200</v>
      </c>
      <c r="J55" s="6">
        <v>43514</v>
      </c>
      <c r="K55" s="3">
        <v>400</v>
      </c>
      <c r="L55" s="5">
        <v>0.65972222222222221</v>
      </c>
      <c r="M55" t="s">
        <v>82</v>
      </c>
    </row>
    <row r="56" spans="1:13" x14ac:dyDescent="0.3">
      <c r="A56" t="s">
        <v>45</v>
      </c>
      <c r="B56" t="s">
        <v>78</v>
      </c>
      <c r="C56" s="3">
        <v>4026015466</v>
      </c>
      <c r="D56" t="s">
        <v>158</v>
      </c>
      <c r="E56" t="s">
        <v>167</v>
      </c>
      <c r="F56" s="3">
        <v>184</v>
      </c>
      <c r="G56" t="s">
        <v>170</v>
      </c>
      <c r="H56" t="s">
        <v>204</v>
      </c>
      <c r="I56" s="3">
        <v>150</v>
      </c>
      <c r="J56" s="6">
        <v>43811</v>
      </c>
      <c r="K56" s="3">
        <v>180</v>
      </c>
      <c r="L56" s="5">
        <v>0.66319444444444442</v>
      </c>
      <c r="M56" t="s">
        <v>83</v>
      </c>
    </row>
    <row r="57" spans="1:13" x14ac:dyDescent="0.3">
      <c r="A57" t="s">
        <v>193</v>
      </c>
      <c r="B57" t="s">
        <v>204</v>
      </c>
      <c r="C57" s="3">
        <v>8436835499</v>
      </c>
      <c r="D57" t="s">
        <v>128</v>
      </c>
      <c r="E57" t="s">
        <v>168</v>
      </c>
      <c r="F57" s="3">
        <v>647</v>
      </c>
      <c r="G57" t="s">
        <v>172</v>
      </c>
      <c r="H57" t="s">
        <v>173</v>
      </c>
      <c r="I57" s="3">
        <v>140</v>
      </c>
      <c r="J57" s="6">
        <v>43606</v>
      </c>
      <c r="K57" s="3">
        <v>500</v>
      </c>
      <c r="L57" s="5">
        <v>0.66666666666666663</v>
      </c>
      <c r="M57" t="s">
        <v>82</v>
      </c>
    </row>
    <row r="58" spans="1:13" x14ac:dyDescent="0.3">
      <c r="A58" t="s">
        <v>46</v>
      </c>
      <c r="B58" t="s">
        <v>204</v>
      </c>
      <c r="C58" s="3">
        <v>6341451283</v>
      </c>
      <c r="D58" t="s">
        <v>114</v>
      </c>
      <c r="E58" t="s">
        <v>168</v>
      </c>
      <c r="F58" s="3">
        <v>480</v>
      </c>
      <c r="G58" t="s">
        <v>171</v>
      </c>
      <c r="H58" t="s">
        <v>174</v>
      </c>
      <c r="I58" s="3">
        <v>120</v>
      </c>
      <c r="J58" s="6">
        <v>43747</v>
      </c>
      <c r="K58" s="3">
        <v>1600</v>
      </c>
      <c r="L58" s="5">
        <v>0.67013888888888884</v>
      </c>
      <c r="M58" t="s">
        <v>83</v>
      </c>
    </row>
    <row r="59" spans="1:13" x14ac:dyDescent="0.3">
      <c r="A59" t="s">
        <v>194</v>
      </c>
      <c r="B59" t="s">
        <v>78</v>
      </c>
      <c r="C59" s="3">
        <v>4975372521</v>
      </c>
      <c r="D59" t="s">
        <v>213</v>
      </c>
      <c r="E59" t="s">
        <v>168</v>
      </c>
      <c r="F59" s="3">
        <v>22</v>
      </c>
      <c r="G59" t="s">
        <v>170</v>
      </c>
      <c r="H59" t="s">
        <v>174</v>
      </c>
      <c r="I59" s="3">
        <v>150</v>
      </c>
      <c r="J59" s="6">
        <v>43573</v>
      </c>
      <c r="K59" s="3">
        <v>500</v>
      </c>
      <c r="L59" s="5">
        <v>0.67361111111111116</v>
      </c>
      <c r="M59" t="s">
        <v>82</v>
      </c>
    </row>
    <row r="60" spans="1:13" x14ac:dyDescent="0.3">
      <c r="A60" t="s">
        <v>47</v>
      </c>
      <c r="B60" t="s">
        <v>79</v>
      </c>
      <c r="C60" s="3">
        <v>8011161364</v>
      </c>
      <c r="D60" t="s">
        <v>117</v>
      </c>
      <c r="E60" t="s">
        <v>167</v>
      </c>
      <c r="F60" s="3">
        <v>418</v>
      </c>
      <c r="G60" t="s">
        <v>170</v>
      </c>
      <c r="H60" t="s">
        <v>176</v>
      </c>
      <c r="I60" s="3">
        <v>120</v>
      </c>
      <c r="J60" s="6">
        <v>43598</v>
      </c>
      <c r="K60" s="3">
        <v>600</v>
      </c>
      <c r="L60" s="5">
        <v>0.67708333333333337</v>
      </c>
      <c r="M60" t="s">
        <v>82</v>
      </c>
    </row>
    <row r="61" spans="1:13" x14ac:dyDescent="0.3">
      <c r="A61" t="s">
        <v>48</v>
      </c>
      <c r="B61" t="s">
        <v>80</v>
      </c>
      <c r="C61" s="3">
        <v>9022585743</v>
      </c>
      <c r="D61" t="s">
        <v>153</v>
      </c>
      <c r="E61" t="s">
        <v>168</v>
      </c>
      <c r="F61" s="3">
        <v>247</v>
      </c>
      <c r="G61" t="s">
        <v>171</v>
      </c>
      <c r="H61" t="s">
        <v>173</v>
      </c>
      <c r="I61" s="3">
        <v>120</v>
      </c>
      <c r="J61" s="6">
        <v>43547</v>
      </c>
      <c r="K61" s="3">
        <v>270</v>
      </c>
      <c r="L61" s="5">
        <v>0.68055555555555547</v>
      </c>
      <c r="M61" t="s">
        <v>82</v>
      </c>
    </row>
    <row r="62" spans="1:13" x14ac:dyDescent="0.3">
      <c r="A62" t="s">
        <v>195</v>
      </c>
      <c r="B62" t="s">
        <v>78</v>
      </c>
      <c r="C62" s="3">
        <v>7167092174</v>
      </c>
      <c r="D62" t="s">
        <v>102</v>
      </c>
      <c r="E62" t="s">
        <v>167</v>
      </c>
      <c r="F62" s="3">
        <v>872</v>
      </c>
      <c r="G62" t="s">
        <v>170</v>
      </c>
      <c r="H62" t="s">
        <v>174</v>
      </c>
      <c r="I62" s="3">
        <v>150</v>
      </c>
      <c r="J62" s="6">
        <v>43768</v>
      </c>
      <c r="K62" s="3">
        <v>800</v>
      </c>
      <c r="L62" s="5">
        <v>0.68402777777777779</v>
      </c>
      <c r="M62" t="s">
        <v>83</v>
      </c>
    </row>
    <row r="63" spans="1:13" x14ac:dyDescent="0.3">
      <c r="A63" t="s">
        <v>49</v>
      </c>
      <c r="B63" t="s">
        <v>79</v>
      </c>
      <c r="C63" s="3" t="s">
        <v>204</v>
      </c>
      <c r="D63" t="s">
        <v>154</v>
      </c>
      <c r="E63" t="s">
        <v>167</v>
      </c>
      <c r="F63" s="3">
        <v>129</v>
      </c>
      <c r="G63" t="s">
        <v>170</v>
      </c>
      <c r="H63" t="s">
        <v>175</v>
      </c>
      <c r="I63" s="3">
        <v>150</v>
      </c>
      <c r="J63" s="6">
        <v>43601</v>
      </c>
      <c r="K63" s="3">
        <v>500</v>
      </c>
      <c r="L63" s="5">
        <v>0.6875</v>
      </c>
      <c r="M63" t="s">
        <v>83</v>
      </c>
    </row>
    <row r="64" spans="1:13" x14ac:dyDescent="0.3">
      <c r="A64" t="s">
        <v>50</v>
      </c>
      <c r="B64" t="s">
        <v>80</v>
      </c>
      <c r="C64" s="3">
        <v>6314589112</v>
      </c>
      <c r="D64" t="s">
        <v>123</v>
      </c>
      <c r="E64" t="s">
        <v>167</v>
      </c>
      <c r="F64" s="3">
        <v>798</v>
      </c>
      <c r="G64" t="s">
        <v>170</v>
      </c>
      <c r="H64" t="s">
        <v>174</v>
      </c>
      <c r="I64" s="3">
        <v>150</v>
      </c>
      <c r="J64" s="6">
        <v>43757</v>
      </c>
      <c r="K64" s="3">
        <v>700</v>
      </c>
      <c r="L64" s="5">
        <v>0.69444444444444453</v>
      </c>
      <c r="M64" t="s">
        <v>83</v>
      </c>
    </row>
    <row r="65" spans="1:13" x14ac:dyDescent="0.3">
      <c r="A65" t="s">
        <v>51</v>
      </c>
      <c r="B65" t="s">
        <v>78</v>
      </c>
      <c r="C65" s="3">
        <v>44902911</v>
      </c>
      <c r="D65" t="s">
        <v>155</v>
      </c>
      <c r="E65" t="s">
        <v>167</v>
      </c>
      <c r="F65" s="3">
        <v>14</v>
      </c>
      <c r="G65" t="s">
        <v>171</v>
      </c>
      <c r="H65" t="s">
        <v>173</v>
      </c>
      <c r="I65" s="3">
        <v>120</v>
      </c>
      <c r="J65" s="6">
        <v>43715</v>
      </c>
      <c r="K65" s="3">
        <v>1600</v>
      </c>
      <c r="L65" s="5">
        <v>0.69791666666666663</v>
      </c>
      <c r="M65" t="s">
        <v>82</v>
      </c>
    </row>
    <row r="66" spans="1:13" x14ac:dyDescent="0.3">
      <c r="A66" t="s">
        <v>52</v>
      </c>
      <c r="B66" t="s">
        <v>81</v>
      </c>
      <c r="C66" s="3">
        <v>961674446</v>
      </c>
      <c r="D66" t="s">
        <v>214</v>
      </c>
      <c r="E66" t="s">
        <v>168</v>
      </c>
      <c r="F66" s="3">
        <v>462</v>
      </c>
      <c r="G66" t="s">
        <v>169</v>
      </c>
      <c r="H66" t="s">
        <v>176</v>
      </c>
      <c r="I66" s="3">
        <v>200</v>
      </c>
      <c r="J66" s="6">
        <v>43816</v>
      </c>
      <c r="K66" s="3">
        <v>1600</v>
      </c>
      <c r="L66" s="5">
        <v>0.70138888888888884</v>
      </c>
      <c r="M66" t="s">
        <v>82</v>
      </c>
    </row>
    <row r="67" spans="1:13" x14ac:dyDescent="0.3">
      <c r="A67" t="s">
        <v>196</v>
      </c>
      <c r="B67" t="s">
        <v>78</v>
      </c>
      <c r="C67" s="3">
        <v>3276125790</v>
      </c>
      <c r="D67" t="s">
        <v>113</v>
      </c>
      <c r="E67" t="s">
        <v>167</v>
      </c>
      <c r="F67" s="3">
        <v>952</v>
      </c>
      <c r="G67" t="s">
        <v>170</v>
      </c>
      <c r="H67" t="s">
        <v>173</v>
      </c>
      <c r="I67" s="3">
        <v>150</v>
      </c>
      <c r="J67" s="6">
        <v>43586</v>
      </c>
      <c r="K67" s="3">
        <v>1000</v>
      </c>
      <c r="L67" s="5">
        <v>0.70486111111111116</v>
      </c>
      <c r="M67" t="s">
        <v>83</v>
      </c>
    </row>
    <row r="68" spans="1:13" x14ac:dyDescent="0.3">
      <c r="A68" t="s">
        <v>53</v>
      </c>
      <c r="B68" t="s">
        <v>204</v>
      </c>
      <c r="C68" s="3">
        <v>9807488372</v>
      </c>
      <c r="D68" t="s">
        <v>152</v>
      </c>
      <c r="E68" t="s">
        <v>168</v>
      </c>
      <c r="F68" s="3">
        <v>341</v>
      </c>
      <c r="G68" t="s">
        <v>172</v>
      </c>
      <c r="H68" t="s">
        <v>174</v>
      </c>
      <c r="I68" s="3">
        <v>140</v>
      </c>
      <c r="J68" s="6">
        <v>43568</v>
      </c>
      <c r="K68" s="3">
        <v>1600</v>
      </c>
      <c r="L68" s="5">
        <v>0.70833333333333337</v>
      </c>
      <c r="M68" t="s">
        <v>82</v>
      </c>
    </row>
    <row r="69" spans="1:13" x14ac:dyDescent="0.3">
      <c r="A69" t="s">
        <v>54</v>
      </c>
      <c r="B69" t="s">
        <v>79</v>
      </c>
      <c r="C69" s="3">
        <v>3965379219</v>
      </c>
      <c r="D69" t="s">
        <v>124</v>
      </c>
      <c r="E69" t="s">
        <v>167</v>
      </c>
      <c r="F69" s="3">
        <v>908</v>
      </c>
      <c r="G69" t="s">
        <v>171</v>
      </c>
      <c r="H69" t="s">
        <v>176</v>
      </c>
      <c r="I69" s="3">
        <v>120</v>
      </c>
      <c r="J69" s="6">
        <v>43643</v>
      </c>
      <c r="K69" s="3">
        <v>1100</v>
      </c>
      <c r="L69" s="5">
        <v>0.71180555555555547</v>
      </c>
      <c r="M69" t="s">
        <v>82</v>
      </c>
    </row>
    <row r="70" spans="1:13" x14ac:dyDescent="0.3">
      <c r="A70" t="s">
        <v>197</v>
      </c>
      <c r="B70" t="s">
        <v>78</v>
      </c>
      <c r="C70" s="3">
        <v>2087336366</v>
      </c>
      <c r="D70" t="s">
        <v>116</v>
      </c>
      <c r="E70" t="s">
        <v>168</v>
      </c>
      <c r="F70" s="3">
        <v>57</v>
      </c>
      <c r="G70" t="s">
        <v>170</v>
      </c>
      <c r="H70" t="s">
        <v>173</v>
      </c>
      <c r="I70" s="3">
        <v>150</v>
      </c>
      <c r="J70" s="6">
        <v>43620</v>
      </c>
      <c r="K70" s="3">
        <v>700</v>
      </c>
      <c r="L70" s="5">
        <v>0.71527777777777779</v>
      </c>
      <c r="M70" t="s">
        <v>82</v>
      </c>
    </row>
    <row r="71" spans="1:13" x14ac:dyDescent="0.3">
      <c r="A71" t="s">
        <v>55</v>
      </c>
      <c r="B71" t="s">
        <v>78</v>
      </c>
      <c r="C71" s="3">
        <v>1421179061</v>
      </c>
      <c r="D71" t="s">
        <v>150</v>
      </c>
      <c r="E71" t="s">
        <v>167</v>
      </c>
      <c r="F71" s="3">
        <v>68</v>
      </c>
      <c r="G71" t="s">
        <v>169</v>
      </c>
      <c r="H71" t="s">
        <v>175</v>
      </c>
      <c r="I71" s="3">
        <v>200</v>
      </c>
      <c r="J71" s="6">
        <v>43972</v>
      </c>
      <c r="K71" s="3">
        <v>600</v>
      </c>
      <c r="L71" s="5">
        <v>0.71875</v>
      </c>
      <c r="M71" t="s">
        <v>83</v>
      </c>
    </row>
    <row r="72" spans="1:13" x14ac:dyDescent="0.3">
      <c r="A72" t="s">
        <v>56</v>
      </c>
      <c r="B72" t="s">
        <v>78</v>
      </c>
      <c r="C72" s="3">
        <v>7855543695</v>
      </c>
      <c r="D72" t="s">
        <v>98</v>
      </c>
      <c r="E72" t="s">
        <v>168</v>
      </c>
      <c r="F72" s="3">
        <v>829</v>
      </c>
      <c r="G72" t="s">
        <v>170</v>
      </c>
      <c r="H72" t="s">
        <v>176</v>
      </c>
      <c r="I72" s="3">
        <v>150</v>
      </c>
      <c r="J72" s="6">
        <v>44141</v>
      </c>
      <c r="K72" s="3">
        <v>600</v>
      </c>
      <c r="L72" s="5">
        <v>0.72222222222222221</v>
      </c>
      <c r="M72" t="s">
        <v>82</v>
      </c>
    </row>
    <row r="73" spans="1:13" x14ac:dyDescent="0.3">
      <c r="A73" t="s">
        <v>57</v>
      </c>
      <c r="B73" t="s">
        <v>78</v>
      </c>
      <c r="C73" s="3" t="s">
        <v>204</v>
      </c>
      <c r="D73" t="s">
        <v>135</v>
      </c>
      <c r="E73" t="s">
        <v>167</v>
      </c>
      <c r="F73" s="3">
        <v>80</v>
      </c>
      <c r="G73" t="s">
        <v>172</v>
      </c>
      <c r="H73" t="s">
        <v>173</v>
      </c>
      <c r="I73" s="3">
        <v>140</v>
      </c>
      <c r="J73" s="6">
        <v>44155</v>
      </c>
      <c r="K73" s="3">
        <v>700</v>
      </c>
      <c r="L73" s="5">
        <v>0.72569444444444453</v>
      </c>
      <c r="M73" t="s">
        <v>83</v>
      </c>
    </row>
    <row r="74" spans="1:13" x14ac:dyDescent="0.3">
      <c r="A74" t="s">
        <v>58</v>
      </c>
      <c r="B74" t="s">
        <v>79</v>
      </c>
      <c r="C74" s="3">
        <v>1851286862</v>
      </c>
      <c r="D74" t="s">
        <v>126</v>
      </c>
      <c r="E74" t="s">
        <v>168</v>
      </c>
      <c r="F74" s="3">
        <v>493</v>
      </c>
      <c r="G74" t="s">
        <v>171</v>
      </c>
      <c r="H74" t="s">
        <v>176</v>
      </c>
      <c r="I74" s="3">
        <v>120</v>
      </c>
      <c r="J74" s="6">
        <v>44114</v>
      </c>
      <c r="K74" s="3">
        <v>400</v>
      </c>
      <c r="L74" s="5">
        <v>0.72916666666666663</v>
      </c>
      <c r="M74" t="s">
        <v>82</v>
      </c>
    </row>
    <row r="75" spans="1:13" x14ac:dyDescent="0.3">
      <c r="A75" t="s">
        <v>59</v>
      </c>
      <c r="B75" t="s">
        <v>81</v>
      </c>
      <c r="C75" s="3">
        <v>7478269060</v>
      </c>
      <c r="D75" t="s">
        <v>149</v>
      </c>
      <c r="E75" t="s">
        <v>167</v>
      </c>
      <c r="F75" s="3">
        <v>511</v>
      </c>
      <c r="G75" t="s">
        <v>170</v>
      </c>
      <c r="H75" t="s">
        <v>173</v>
      </c>
      <c r="I75" s="3">
        <v>150</v>
      </c>
      <c r="J75" s="6">
        <v>44108</v>
      </c>
      <c r="K75" s="3">
        <v>370</v>
      </c>
      <c r="L75" s="5">
        <v>0.73263888888888884</v>
      </c>
      <c r="M75" t="s">
        <v>83</v>
      </c>
    </row>
    <row r="76" spans="1:13" x14ac:dyDescent="0.3">
      <c r="A76" t="s">
        <v>198</v>
      </c>
      <c r="B76" t="s">
        <v>204</v>
      </c>
      <c r="C76" s="3">
        <v>2633890534</v>
      </c>
      <c r="D76" t="s">
        <v>112</v>
      </c>
      <c r="E76" t="s">
        <v>168</v>
      </c>
      <c r="F76" s="3">
        <v>772</v>
      </c>
      <c r="G76" t="s">
        <v>171</v>
      </c>
      <c r="H76" t="s">
        <v>204</v>
      </c>
      <c r="I76" s="3">
        <v>120</v>
      </c>
      <c r="J76" s="6">
        <v>38861</v>
      </c>
      <c r="K76" s="3">
        <v>400</v>
      </c>
      <c r="L76" s="5">
        <v>0.73611111111111116</v>
      </c>
      <c r="M76" t="s">
        <v>82</v>
      </c>
    </row>
    <row r="77" spans="1:13" x14ac:dyDescent="0.3">
      <c r="A77" t="s">
        <v>60</v>
      </c>
      <c r="B77" t="s">
        <v>204</v>
      </c>
      <c r="C77" s="3">
        <v>9742676067</v>
      </c>
      <c r="D77" t="s">
        <v>215</v>
      </c>
      <c r="E77" t="s">
        <v>167</v>
      </c>
      <c r="F77" s="3">
        <v>662</v>
      </c>
      <c r="G77" t="s">
        <v>169</v>
      </c>
      <c r="H77" t="s">
        <v>176</v>
      </c>
      <c r="I77" s="3">
        <v>200</v>
      </c>
      <c r="J77" s="6">
        <v>43969</v>
      </c>
      <c r="K77" s="3">
        <v>180</v>
      </c>
      <c r="L77" s="5">
        <v>0.73958333333333337</v>
      </c>
      <c r="M77" t="s">
        <v>83</v>
      </c>
    </row>
    <row r="78" spans="1:13" x14ac:dyDescent="0.3">
      <c r="A78" t="s">
        <v>61</v>
      </c>
      <c r="B78" t="s">
        <v>78</v>
      </c>
      <c r="C78" s="3">
        <v>9751272637</v>
      </c>
      <c r="D78" t="s">
        <v>134</v>
      </c>
      <c r="E78" t="s">
        <v>168</v>
      </c>
      <c r="F78" s="3">
        <v>493</v>
      </c>
      <c r="G78" t="s">
        <v>170</v>
      </c>
      <c r="H78" t="s">
        <v>174</v>
      </c>
      <c r="I78" s="3">
        <v>150</v>
      </c>
      <c r="J78" s="6">
        <v>43844</v>
      </c>
      <c r="K78" s="3">
        <v>500</v>
      </c>
      <c r="L78" s="5">
        <v>0.74305555555555547</v>
      </c>
      <c r="M78" t="s">
        <v>83</v>
      </c>
    </row>
    <row r="79" spans="1:13" x14ac:dyDescent="0.3">
      <c r="A79" t="s">
        <v>199</v>
      </c>
      <c r="B79" t="s">
        <v>78</v>
      </c>
      <c r="C79" s="3">
        <v>1295980873</v>
      </c>
      <c r="D79" t="s">
        <v>151</v>
      </c>
      <c r="E79" t="s">
        <v>167</v>
      </c>
      <c r="F79" s="3">
        <v>334</v>
      </c>
      <c r="G79" t="s">
        <v>172</v>
      </c>
      <c r="H79" t="s">
        <v>176</v>
      </c>
      <c r="I79" s="3">
        <v>140</v>
      </c>
      <c r="J79" s="6">
        <v>44035</v>
      </c>
      <c r="K79" s="3">
        <v>1600</v>
      </c>
      <c r="L79" s="5">
        <v>0.74652777777777779</v>
      </c>
      <c r="M79" t="s">
        <v>83</v>
      </c>
    </row>
    <row r="80" spans="1:13" x14ac:dyDescent="0.3">
      <c r="A80" t="s">
        <v>62</v>
      </c>
      <c r="B80" t="s">
        <v>79</v>
      </c>
      <c r="C80" s="3">
        <v>2659070909</v>
      </c>
      <c r="D80" t="s">
        <v>99</v>
      </c>
      <c r="E80" t="s">
        <v>167</v>
      </c>
      <c r="F80" s="3">
        <v>607</v>
      </c>
      <c r="G80" t="s">
        <v>171</v>
      </c>
      <c r="H80" t="s">
        <v>173</v>
      </c>
      <c r="I80" s="3">
        <v>120</v>
      </c>
      <c r="J80" s="6">
        <v>44196</v>
      </c>
      <c r="K80" s="3">
        <v>500</v>
      </c>
      <c r="L80" s="5">
        <v>0.75</v>
      </c>
      <c r="M80" t="s">
        <v>83</v>
      </c>
    </row>
    <row r="81" spans="1:13" x14ac:dyDescent="0.3">
      <c r="A81" t="s">
        <v>63</v>
      </c>
      <c r="B81" t="s">
        <v>80</v>
      </c>
      <c r="C81" s="3">
        <v>6307559482</v>
      </c>
      <c r="D81" t="s">
        <v>146</v>
      </c>
      <c r="E81" t="s">
        <v>167</v>
      </c>
      <c r="F81" s="3">
        <v>462</v>
      </c>
      <c r="G81" t="s">
        <v>170</v>
      </c>
      <c r="H81" t="s">
        <v>175</v>
      </c>
      <c r="I81" s="3">
        <v>150</v>
      </c>
      <c r="J81" s="6">
        <v>44055</v>
      </c>
      <c r="K81" s="3">
        <v>600</v>
      </c>
      <c r="L81" s="5">
        <v>0.75694444444444453</v>
      </c>
      <c r="M81" t="s">
        <v>83</v>
      </c>
    </row>
    <row r="82" spans="1:13" x14ac:dyDescent="0.3">
      <c r="A82" t="s">
        <v>64</v>
      </c>
      <c r="B82" t="s">
        <v>78</v>
      </c>
      <c r="C82" s="3">
        <v>4762401518</v>
      </c>
      <c r="D82" t="s">
        <v>216</v>
      </c>
      <c r="E82" t="s">
        <v>167</v>
      </c>
      <c r="F82" s="3">
        <v>561</v>
      </c>
      <c r="G82" t="s">
        <v>169</v>
      </c>
      <c r="H82" t="s">
        <v>173</v>
      </c>
      <c r="I82" s="3">
        <v>200</v>
      </c>
      <c r="J82" s="6">
        <v>44165</v>
      </c>
      <c r="K82" s="3">
        <v>270</v>
      </c>
      <c r="L82" s="5">
        <v>0.76041666666666663</v>
      </c>
      <c r="M82" t="s">
        <v>82</v>
      </c>
    </row>
    <row r="83" spans="1:13" x14ac:dyDescent="0.3">
      <c r="A83" t="s">
        <v>200</v>
      </c>
      <c r="B83" t="s">
        <v>78</v>
      </c>
      <c r="C83" s="3">
        <v>4139816123</v>
      </c>
      <c r="D83" t="s">
        <v>147</v>
      </c>
      <c r="E83" t="s">
        <v>167</v>
      </c>
      <c r="F83" s="3">
        <v>988</v>
      </c>
      <c r="G83" t="s">
        <v>169</v>
      </c>
      <c r="H83" t="s">
        <v>174</v>
      </c>
      <c r="I83" s="3">
        <v>200</v>
      </c>
      <c r="J83" s="6">
        <v>43844</v>
      </c>
      <c r="K83" s="3">
        <v>800</v>
      </c>
      <c r="L83" s="5">
        <v>0.76388888888888884</v>
      </c>
      <c r="M83" t="s">
        <v>83</v>
      </c>
    </row>
    <row r="84" spans="1:13" x14ac:dyDescent="0.3">
      <c r="A84" t="s">
        <v>65</v>
      </c>
      <c r="B84" t="s">
        <v>78</v>
      </c>
      <c r="C84" s="3">
        <v>3648449442</v>
      </c>
      <c r="D84" t="s">
        <v>100</v>
      </c>
      <c r="E84" t="s">
        <v>168</v>
      </c>
      <c r="F84" s="3">
        <v>149</v>
      </c>
      <c r="G84" t="s">
        <v>170</v>
      </c>
      <c r="H84" t="s">
        <v>174</v>
      </c>
      <c r="I84" s="3">
        <v>150</v>
      </c>
      <c r="J84" s="6">
        <v>44079</v>
      </c>
      <c r="K84" s="3">
        <v>500</v>
      </c>
      <c r="L84" s="5">
        <v>0.76736111111111116</v>
      </c>
      <c r="M84" t="s">
        <v>83</v>
      </c>
    </row>
    <row r="85" spans="1:13" x14ac:dyDescent="0.3">
      <c r="A85" t="s">
        <v>66</v>
      </c>
      <c r="B85" t="s">
        <v>78</v>
      </c>
      <c r="C85" s="3">
        <v>3877202047</v>
      </c>
      <c r="D85" t="s">
        <v>148</v>
      </c>
      <c r="E85" t="s">
        <v>168</v>
      </c>
      <c r="F85" s="3">
        <v>223</v>
      </c>
      <c r="G85" t="s">
        <v>169</v>
      </c>
      <c r="H85" t="s">
        <v>174</v>
      </c>
      <c r="I85" s="3">
        <v>200</v>
      </c>
      <c r="J85" s="6">
        <v>43969</v>
      </c>
      <c r="K85" s="3">
        <v>700</v>
      </c>
      <c r="L85" s="5">
        <v>0.77083333333333337</v>
      </c>
      <c r="M85" t="s">
        <v>82</v>
      </c>
    </row>
    <row r="86" spans="1:13" x14ac:dyDescent="0.3">
      <c r="A86" t="s">
        <v>67</v>
      </c>
      <c r="B86" t="s">
        <v>81</v>
      </c>
      <c r="C86" s="3">
        <v>6506423344</v>
      </c>
      <c r="D86" t="s">
        <v>122</v>
      </c>
      <c r="E86" t="s">
        <v>167</v>
      </c>
      <c r="F86" s="3">
        <v>647</v>
      </c>
      <c r="G86" t="s">
        <v>170</v>
      </c>
      <c r="H86" t="s">
        <v>176</v>
      </c>
      <c r="I86" s="3">
        <v>150</v>
      </c>
      <c r="J86" s="6">
        <v>43888</v>
      </c>
      <c r="K86" s="3">
        <v>1600</v>
      </c>
      <c r="L86" s="5">
        <v>0.77430555555555547</v>
      </c>
      <c r="M86" t="s">
        <v>82</v>
      </c>
    </row>
    <row r="87" spans="1:13" x14ac:dyDescent="0.3">
      <c r="A87" t="s">
        <v>68</v>
      </c>
      <c r="B87" t="s">
        <v>80</v>
      </c>
      <c r="C87" s="3" t="s">
        <v>204</v>
      </c>
      <c r="D87" t="s">
        <v>133</v>
      </c>
      <c r="E87" t="s">
        <v>167</v>
      </c>
      <c r="F87" s="3">
        <v>67</v>
      </c>
      <c r="G87" t="s">
        <v>172</v>
      </c>
      <c r="H87" t="s">
        <v>173</v>
      </c>
      <c r="I87" s="3">
        <v>140</v>
      </c>
      <c r="J87" s="6">
        <v>43879</v>
      </c>
      <c r="K87" s="3">
        <v>500</v>
      </c>
      <c r="L87" s="5">
        <v>0.77777777777777779</v>
      </c>
      <c r="M87" t="s">
        <v>83</v>
      </c>
    </row>
    <row r="88" spans="1:13" x14ac:dyDescent="0.3">
      <c r="A88" t="s">
        <v>55</v>
      </c>
      <c r="B88" t="s">
        <v>78</v>
      </c>
      <c r="C88" s="3">
        <v>1421179061</v>
      </c>
      <c r="D88" t="s">
        <v>150</v>
      </c>
      <c r="E88" t="s">
        <v>167</v>
      </c>
      <c r="F88" s="3">
        <v>68</v>
      </c>
      <c r="G88" t="s">
        <v>169</v>
      </c>
      <c r="H88" t="s">
        <v>175</v>
      </c>
      <c r="I88" s="3">
        <v>200</v>
      </c>
      <c r="J88" s="6">
        <v>43972</v>
      </c>
      <c r="K88" s="3">
        <v>600</v>
      </c>
      <c r="L88" s="5">
        <v>0.71875</v>
      </c>
      <c r="M88" t="s">
        <v>83</v>
      </c>
    </row>
    <row r="89" spans="1:13" x14ac:dyDescent="0.3">
      <c r="A89" t="s">
        <v>56</v>
      </c>
      <c r="B89" t="s">
        <v>78</v>
      </c>
      <c r="C89" s="3">
        <v>7855543695</v>
      </c>
      <c r="D89" t="s">
        <v>98</v>
      </c>
      <c r="E89" t="s">
        <v>168</v>
      </c>
      <c r="F89" s="3">
        <v>829</v>
      </c>
      <c r="G89" t="s">
        <v>170</v>
      </c>
      <c r="H89" t="s">
        <v>176</v>
      </c>
      <c r="I89" s="3">
        <v>150</v>
      </c>
      <c r="J89" s="6">
        <v>44141</v>
      </c>
      <c r="K89" s="3">
        <v>600</v>
      </c>
      <c r="L89" s="5">
        <v>0.72222222222222221</v>
      </c>
      <c r="M89" t="s">
        <v>82</v>
      </c>
    </row>
    <row r="90" spans="1:13" x14ac:dyDescent="0.3">
      <c r="A90" t="s">
        <v>69</v>
      </c>
      <c r="B90" t="s">
        <v>204</v>
      </c>
      <c r="C90" s="3">
        <v>6968276309</v>
      </c>
      <c r="D90" t="s">
        <v>217</v>
      </c>
      <c r="E90" t="s">
        <v>167</v>
      </c>
      <c r="F90" s="3">
        <v>603</v>
      </c>
      <c r="G90" t="s">
        <v>169</v>
      </c>
      <c r="H90" t="s">
        <v>174</v>
      </c>
      <c r="I90" s="3">
        <v>200</v>
      </c>
      <c r="J90" s="6">
        <v>44042</v>
      </c>
      <c r="K90" s="3">
        <v>800</v>
      </c>
      <c r="L90" s="5">
        <v>0.78819444444444453</v>
      </c>
      <c r="M90" t="s">
        <v>83</v>
      </c>
    </row>
    <row r="91" spans="1:13" x14ac:dyDescent="0.3">
      <c r="A91" t="s">
        <v>201</v>
      </c>
      <c r="B91" t="s">
        <v>204</v>
      </c>
      <c r="C91" s="3">
        <v>3465735473</v>
      </c>
      <c r="D91" t="s">
        <v>95</v>
      </c>
      <c r="E91" t="s">
        <v>168</v>
      </c>
      <c r="F91" s="3">
        <v>946</v>
      </c>
      <c r="G91" t="s">
        <v>169</v>
      </c>
      <c r="H91" t="s">
        <v>204</v>
      </c>
      <c r="I91" s="3">
        <v>200</v>
      </c>
      <c r="J91" s="6">
        <v>44091</v>
      </c>
      <c r="K91" s="3">
        <v>500</v>
      </c>
      <c r="L91" s="5">
        <v>0.79166666666666663</v>
      </c>
      <c r="M91" t="s">
        <v>82</v>
      </c>
    </row>
    <row r="92" spans="1:13" x14ac:dyDescent="0.3">
      <c r="A92" t="s">
        <v>70</v>
      </c>
      <c r="B92" t="s">
        <v>78</v>
      </c>
      <c r="C92" s="3">
        <v>2498044864</v>
      </c>
      <c r="D92" t="s">
        <v>132</v>
      </c>
      <c r="E92" t="s">
        <v>167</v>
      </c>
      <c r="F92" s="3">
        <v>607</v>
      </c>
      <c r="G92" t="s">
        <v>170</v>
      </c>
      <c r="H92" t="s">
        <v>176</v>
      </c>
      <c r="I92" s="3">
        <v>150</v>
      </c>
      <c r="J92" s="6">
        <v>43932</v>
      </c>
      <c r="K92" s="3">
        <v>1600</v>
      </c>
      <c r="L92" s="5">
        <v>0.79513888888888884</v>
      </c>
      <c r="M92" t="s">
        <v>83</v>
      </c>
    </row>
    <row r="93" spans="1:13" x14ac:dyDescent="0.3">
      <c r="A93" t="s">
        <v>71</v>
      </c>
      <c r="B93" t="s">
        <v>78</v>
      </c>
      <c r="C93" s="3">
        <v>2606769249</v>
      </c>
      <c r="D93" t="s">
        <v>111</v>
      </c>
      <c r="E93" t="s">
        <v>168</v>
      </c>
      <c r="F93" s="3">
        <v>277</v>
      </c>
      <c r="G93" t="s">
        <v>172</v>
      </c>
      <c r="H93" t="s">
        <v>173</v>
      </c>
      <c r="I93" s="3">
        <v>120</v>
      </c>
      <c r="J93" s="6">
        <v>43958</v>
      </c>
      <c r="K93" s="3">
        <v>1600</v>
      </c>
      <c r="L93" s="5">
        <v>0.79861111111111116</v>
      </c>
      <c r="M93" t="s">
        <v>82</v>
      </c>
    </row>
    <row r="94" spans="1:13" x14ac:dyDescent="0.3">
      <c r="A94" t="s">
        <v>72</v>
      </c>
      <c r="B94" t="s">
        <v>81</v>
      </c>
      <c r="C94" s="3">
        <v>343424359</v>
      </c>
      <c r="D94" t="s">
        <v>145</v>
      </c>
      <c r="E94" t="s">
        <v>168</v>
      </c>
      <c r="F94" s="3">
        <v>888</v>
      </c>
      <c r="G94" t="s">
        <v>171</v>
      </c>
      <c r="H94" t="s">
        <v>173</v>
      </c>
      <c r="I94" s="3">
        <v>120</v>
      </c>
      <c r="J94" s="6">
        <v>43832</v>
      </c>
      <c r="K94" s="3">
        <v>1000</v>
      </c>
      <c r="L94" s="5">
        <v>0.80208333333333337</v>
      </c>
      <c r="M94" t="s">
        <v>83</v>
      </c>
    </row>
    <row r="95" spans="1:13" x14ac:dyDescent="0.3">
      <c r="A95" t="s">
        <v>73</v>
      </c>
      <c r="B95" t="s">
        <v>78</v>
      </c>
      <c r="C95" s="3">
        <v>2255117793</v>
      </c>
      <c r="D95" t="s">
        <v>110</v>
      </c>
      <c r="E95" t="s">
        <v>167</v>
      </c>
      <c r="F95" s="3">
        <v>680</v>
      </c>
      <c r="G95" t="s">
        <v>170</v>
      </c>
      <c r="H95" t="s">
        <v>173</v>
      </c>
      <c r="I95" s="3">
        <v>150</v>
      </c>
      <c r="J95" s="6">
        <v>44062</v>
      </c>
      <c r="K95" s="3">
        <v>1600</v>
      </c>
      <c r="L95" s="5">
        <v>0.80555555555555547</v>
      </c>
      <c r="M95" t="s">
        <v>82</v>
      </c>
    </row>
    <row r="96" spans="1:13" x14ac:dyDescent="0.3">
      <c r="A96" t="s">
        <v>74</v>
      </c>
      <c r="B96" t="s">
        <v>81</v>
      </c>
      <c r="C96" s="3" t="s">
        <v>204</v>
      </c>
      <c r="D96" t="s">
        <v>144</v>
      </c>
      <c r="E96" t="s">
        <v>167</v>
      </c>
      <c r="F96" s="3">
        <v>583</v>
      </c>
      <c r="G96" t="s">
        <v>172</v>
      </c>
      <c r="H96" t="s">
        <v>176</v>
      </c>
      <c r="I96" s="3">
        <v>120</v>
      </c>
      <c r="J96" s="6">
        <v>44068</v>
      </c>
      <c r="K96" s="3">
        <v>1100</v>
      </c>
      <c r="L96" s="5">
        <v>0.8125</v>
      </c>
      <c r="M96" t="s">
        <v>83</v>
      </c>
    </row>
    <row r="97" spans="1:13" x14ac:dyDescent="0.3">
      <c r="A97" t="s">
        <v>202</v>
      </c>
      <c r="B97" t="s">
        <v>78</v>
      </c>
      <c r="C97" s="3">
        <v>7845748028</v>
      </c>
      <c r="D97" t="s">
        <v>125</v>
      </c>
      <c r="E97" t="s">
        <v>168</v>
      </c>
      <c r="F97" s="3">
        <v>79</v>
      </c>
      <c r="G97" t="s">
        <v>169</v>
      </c>
      <c r="H97" t="s">
        <v>174</v>
      </c>
      <c r="I97" s="3">
        <v>200</v>
      </c>
      <c r="J97" s="6">
        <v>44110</v>
      </c>
      <c r="K97" s="3">
        <v>700</v>
      </c>
      <c r="L97" s="5">
        <v>0.81597222222222221</v>
      </c>
      <c r="M97" t="s">
        <v>83</v>
      </c>
    </row>
    <row r="98" spans="1:13" x14ac:dyDescent="0.3">
      <c r="A98" t="s">
        <v>75</v>
      </c>
      <c r="B98" t="s">
        <v>204</v>
      </c>
      <c r="C98" s="3">
        <v>6122595301</v>
      </c>
      <c r="D98" t="s">
        <v>131</v>
      </c>
      <c r="E98" t="s">
        <v>167</v>
      </c>
      <c r="F98" s="3">
        <v>497</v>
      </c>
      <c r="G98" t="s">
        <v>169</v>
      </c>
      <c r="H98" t="s">
        <v>174</v>
      </c>
      <c r="I98" s="3">
        <v>200</v>
      </c>
      <c r="J98" s="6">
        <v>44039</v>
      </c>
      <c r="K98" s="3">
        <v>600</v>
      </c>
      <c r="L98" s="5">
        <v>0.82291666666666663</v>
      </c>
      <c r="M98" t="s">
        <v>83</v>
      </c>
    </row>
    <row r="99" spans="1:13" x14ac:dyDescent="0.3">
      <c r="A99" t="s">
        <v>76</v>
      </c>
      <c r="B99" t="s">
        <v>204</v>
      </c>
      <c r="C99" s="3">
        <v>8349134128</v>
      </c>
      <c r="D99" t="s">
        <v>97</v>
      </c>
      <c r="E99" t="s">
        <v>168</v>
      </c>
      <c r="F99" s="3">
        <v>154</v>
      </c>
      <c r="G99" t="s">
        <v>169</v>
      </c>
      <c r="H99" t="s">
        <v>204</v>
      </c>
      <c r="I99" s="3">
        <v>200</v>
      </c>
      <c r="J99" s="6">
        <v>43921</v>
      </c>
      <c r="K99" s="3">
        <v>600</v>
      </c>
      <c r="L99" s="5">
        <v>0.82638888888888884</v>
      </c>
      <c r="M99" t="s">
        <v>82</v>
      </c>
    </row>
    <row r="100" spans="1:13" x14ac:dyDescent="0.3">
      <c r="A100" t="s">
        <v>203</v>
      </c>
      <c r="B100" t="s">
        <v>81</v>
      </c>
      <c r="C100" s="3">
        <v>4081880170</v>
      </c>
      <c r="D100" t="s">
        <v>218</v>
      </c>
      <c r="E100" t="s">
        <v>167</v>
      </c>
      <c r="F100" s="3">
        <v>38</v>
      </c>
      <c r="G100" t="s">
        <v>170</v>
      </c>
      <c r="H100" t="s">
        <v>173</v>
      </c>
      <c r="I100" s="3">
        <v>150</v>
      </c>
      <c r="J100" s="6">
        <v>44069</v>
      </c>
      <c r="K100" s="3">
        <v>700</v>
      </c>
      <c r="L100" s="5">
        <v>0.82986111111111116</v>
      </c>
      <c r="M100" t="s">
        <v>83</v>
      </c>
    </row>
    <row r="101" spans="1:13" x14ac:dyDescent="0.3">
      <c r="A101" t="s">
        <v>77</v>
      </c>
      <c r="B101" t="s">
        <v>78</v>
      </c>
      <c r="C101" s="3" t="s">
        <v>204</v>
      </c>
      <c r="D101" t="s">
        <v>96</v>
      </c>
      <c r="E101" t="s">
        <v>168</v>
      </c>
      <c r="F101" s="3">
        <v>539</v>
      </c>
      <c r="G101" t="s">
        <v>172</v>
      </c>
      <c r="H101" t="s">
        <v>174</v>
      </c>
      <c r="I101" s="3">
        <v>120</v>
      </c>
      <c r="J101" s="6">
        <v>44134</v>
      </c>
      <c r="K101" s="3">
        <v>400</v>
      </c>
      <c r="L101" s="5">
        <v>0.83333333333333337</v>
      </c>
      <c r="M101" t="s">
        <v>83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Working Data</vt:lpstr>
      <vt:lpstr>Transformed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Abhishek Mukherjee</cp:lastModifiedBy>
  <dcterms:created xsi:type="dcterms:W3CDTF">2020-04-04T13:52:55Z</dcterms:created>
  <dcterms:modified xsi:type="dcterms:W3CDTF">2024-01-18T14:53:27Z</dcterms:modified>
</cp:coreProperties>
</file>